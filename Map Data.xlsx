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od/Downloads/"/>
    </mc:Choice>
  </mc:AlternateContent>
  <xr:revisionPtr revIDLastSave="0" documentId="13_ncr:1_{0D986960-143B-8140-B182-E2CA596A73C5}" xr6:coauthVersionLast="47" xr6:coauthVersionMax="47" xr10:uidLastSave="{00000000-0000-0000-0000-000000000000}"/>
  <bookViews>
    <workbookView xWindow="0" yWindow="660" windowWidth="23240" windowHeight="12440" tabRatio="683" xr2:uid="{2DB5E85A-9928-4E33-B1DF-EA6A56540159}"/>
  </bookViews>
  <sheets>
    <sheet name="Map master (LENA)" sheetId="9" r:id="rId1"/>
    <sheet name="DATA - Support Measures" sheetId="10" r:id="rId2"/>
    <sheet name="Map master" sheetId="3" state="hidden" r:id="rId3"/>
    <sheet name="Sheet4" sheetId="11" state="hidden" r:id="rId4"/>
    <sheet name="Summary" sheetId="5" state="hidden" r:id="rId5"/>
    <sheet name="all E4DE" sheetId="8" state="hidden" r:id="rId6"/>
    <sheet name="Event Participants" sheetId="6" state="hidden" r:id="rId7"/>
    <sheet name="Event Participants registered" sheetId="7" state="hidden" r:id="rId8"/>
    <sheet name="Event unique startups" sheetId="1" state="hidden" r:id="rId9"/>
  </sheets>
  <definedNames>
    <definedName name="_xlnm._FilterDatabase" localSheetId="5" hidden="1">'all E4DE'!$B$3:$I$324</definedName>
    <definedName name="_xlnm._FilterDatabase" localSheetId="6" hidden="1">'Event Participants'!$A$1:$I$256</definedName>
    <definedName name="_xlnm._FilterDatabase" localSheetId="7" hidden="1">'Event Participants registered'!$A$1:$I$233</definedName>
    <definedName name="_xlnm._FilterDatabase" localSheetId="8" hidden="1">'Event unique startups'!$A$1:$F$202</definedName>
    <definedName name="_xlnm._FilterDatabase" localSheetId="0" hidden="1">'Map master (LENA)'!$A$4:$G$670</definedName>
    <definedName name="_xlnm.Print_Area" localSheetId="1">'DATA - Support Measures'!#REF!</definedName>
  </definedNames>
  <calcPr calcId="191028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9" l="1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5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5" i="9"/>
  <c r="D28" i="9"/>
  <c r="B28" i="9" s="1"/>
  <c r="E28" i="9" s="1"/>
  <c r="D29" i="9"/>
  <c r="B29" i="9" s="1"/>
  <c r="E29" i="9" s="1"/>
  <c r="D30" i="9"/>
  <c r="B30" i="9" s="1"/>
  <c r="E30" i="9" s="1"/>
  <c r="D31" i="9"/>
  <c r="B31" i="9" s="1"/>
  <c r="E31" i="9" s="1"/>
  <c r="D32" i="9"/>
  <c r="B32" i="9" s="1"/>
  <c r="E32" i="9" s="1"/>
  <c r="D33" i="9"/>
  <c r="B33" i="9" s="1"/>
  <c r="E33" i="9" s="1"/>
  <c r="D34" i="9"/>
  <c r="B34" i="9" s="1"/>
  <c r="E34" i="9" s="1"/>
  <c r="D35" i="9"/>
  <c r="B35" i="9" s="1"/>
  <c r="E35" i="9" s="1"/>
  <c r="D36" i="9"/>
  <c r="B36" i="9" s="1"/>
  <c r="E36" i="9" s="1"/>
  <c r="D37" i="9"/>
  <c r="B37" i="9" s="1"/>
  <c r="E37" i="9" s="1"/>
  <c r="D38" i="9"/>
  <c r="B38" i="9" s="1"/>
  <c r="E38" i="9" s="1"/>
  <c r="D39" i="9"/>
  <c r="B39" i="9" s="1"/>
  <c r="E39" i="9" s="1"/>
  <c r="D40" i="9"/>
  <c r="B40" i="9" s="1"/>
  <c r="E40" i="9" s="1"/>
  <c r="D41" i="9"/>
  <c r="B41" i="9" s="1"/>
  <c r="E41" i="9" s="1"/>
  <c r="D42" i="9"/>
  <c r="B42" i="9" s="1"/>
  <c r="E42" i="9" s="1"/>
  <c r="D43" i="9"/>
  <c r="B43" i="9" s="1"/>
  <c r="E43" i="9" s="1"/>
  <c r="D44" i="9"/>
  <c r="B44" i="9" s="1"/>
  <c r="E44" i="9" s="1"/>
  <c r="D45" i="9"/>
  <c r="B45" i="9" s="1"/>
  <c r="E45" i="9" s="1"/>
  <c r="D46" i="9"/>
  <c r="B46" i="9" s="1"/>
  <c r="E46" i="9" s="1"/>
  <c r="D47" i="9"/>
  <c r="B47" i="9" s="1"/>
  <c r="E47" i="9" s="1"/>
  <c r="D48" i="9"/>
  <c r="B48" i="9" s="1"/>
  <c r="E48" i="9" s="1"/>
  <c r="D49" i="9"/>
  <c r="B49" i="9" s="1"/>
  <c r="E49" i="9" s="1"/>
  <c r="D50" i="9"/>
  <c r="B50" i="9" s="1"/>
  <c r="E50" i="9" s="1"/>
  <c r="D51" i="9"/>
  <c r="B51" i="9" s="1"/>
  <c r="E51" i="9" s="1"/>
  <c r="D52" i="9"/>
  <c r="B52" i="9" s="1"/>
  <c r="E52" i="9" s="1"/>
  <c r="D53" i="9"/>
  <c r="B53" i="9" s="1"/>
  <c r="E53" i="9" s="1"/>
  <c r="D54" i="9"/>
  <c r="B54" i="9" s="1"/>
  <c r="E54" i="9" s="1"/>
  <c r="D55" i="9"/>
  <c r="B55" i="9" s="1"/>
  <c r="E55" i="9" s="1"/>
  <c r="D56" i="9"/>
  <c r="B56" i="9" s="1"/>
  <c r="E56" i="9" s="1"/>
  <c r="D57" i="9"/>
  <c r="B57" i="9" s="1"/>
  <c r="E57" i="9" s="1"/>
  <c r="D58" i="9"/>
  <c r="B58" i="9" s="1"/>
  <c r="E58" i="9" s="1"/>
  <c r="D59" i="9"/>
  <c r="B59" i="9" s="1"/>
  <c r="E59" i="9" s="1"/>
  <c r="D60" i="9"/>
  <c r="B60" i="9" s="1"/>
  <c r="E60" i="9" s="1"/>
  <c r="D61" i="9"/>
  <c r="B61" i="9" s="1"/>
  <c r="E61" i="9" s="1"/>
  <c r="D62" i="9"/>
  <c r="B62" i="9" s="1"/>
  <c r="E62" i="9" s="1"/>
  <c r="D63" i="9"/>
  <c r="B63" i="9" s="1"/>
  <c r="E63" i="9" s="1"/>
  <c r="D64" i="9"/>
  <c r="B64" i="9" s="1"/>
  <c r="E64" i="9" s="1"/>
  <c r="D65" i="9"/>
  <c r="B65" i="9" s="1"/>
  <c r="E65" i="9" s="1"/>
  <c r="D66" i="9"/>
  <c r="B66" i="9" s="1"/>
  <c r="E66" i="9" s="1"/>
  <c r="D67" i="9"/>
  <c r="B67" i="9" s="1"/>
  <c r="E67" i="9" s="1"/>
  <c r="D68" i="9"/>
  <c r="B68" i="9" s="1"/>
  <c r="E68" i="9" s="1"/>
  <c r="D69" i="9"/>
  <c r="B69" i="9" s="1"/>
  <c r="E69" i="9" s="1"/>
  <c r="D70" i="9"/>
  <c r="B70" i="9" s="1"/>
  <c r="E70" i="9" s="1"/>
  <c r="D71" i="9"/>
  <c r="B71" i="9" s="1"/>
  <c r="E71" i="9" s="1"/>
  <c r="D72" i="9"/>
  <c r="B72" i="9" s="1"/>
  <c r="E72" i="9" s="1"/>
  <c r="D73" i="9"/>
  <c r="B73" i="9" s="1"/>
  <c r="E73" i="9" s="1"/>
  <c r="D74" i="9"/>
  <c r="B74" i="9" s="1"/>
  <c r="E74" i="9" s="1"/>
  <c r="D75" i="9"/>
  <c r="B75" i="9" s="1"/>
  <c r="E75" i="9" s="1"/>
  <c r="D76" i="9"/>
  <c r="B76" i="9" s="1"/>
  <c r="E76" i="9" s="1"/>
  <c r="D77" i="9"/>
  <c r="B77" i="9" s="1"/>
  <c r="E77" i="9" s="1"/>
  <c r="D78" i="9"/>
  <c r="B78" i="9" s="1"/>
  <c r="E78" i="9" s="1"/>
  <c r="D79" i="9"/>
  <c r="B79" i="9" s="1"/>
  <c r="E79" i="9" s="1"/>
  <c r="D80" i="9"/>
  <c r="B80" i="9" s="1"/>
  <c r="E80" i="9" s="1"/>
  <c r="D81" i="9"/>
  <c r="B81" i="9" s="1"/>
  <c r="E81" i="9" s="1"/>
  <c r="D82" i="9"/>
  <c r="B82" i="9" s="1"/>
  <c r="E82" i="9" s="1"/>
  <c r="D83" i="9"/>
  <c r="B83" i="9" s="1"/>
  <c r="E83" i="9" s="1"/>
  <c r="D84" i="9"/>
  <c r="B84" i="9" s="1"/>
  <c r="E84" i="9" s="1"/>
  <c r="D85" i="9"/>
  <c r="B85" i="9" s="1"/>
  <c r="E85" i="9" s="1"/>
  <c r="D86" i="9"/>
  <c r="B86" i="9" s="1"/>
  <c r="E86" i="9" s="1"/>
  <c r="D87" i="9"/>
  <c r="B87" i="9" s="1"/>
  <c r="E87" i="9" s="1"/>
  <c r="D88" i="9"/>
  <c r="B88" i="9" s="1"/>
  <c r="E88" i="9" s="1"/>
  <c r="D89" i="9"/>
  <c r="B89" i="9" s="1"/>
  <c r="E89" i="9" s="1"/>
  <c r="D90" i="9"/>
  <c r="B90" i="9" s="1"/>
  <c r="E90" i="9" s="1"/>
  <c r="D91" i="9"/>
  <c r="B91" i="9" s="1"/>
  <c r="E91" i="9" s="1"/>
  <c r="D92" i="9"/>
  <c r="B92" i="9" s="1"/>
  <c r="E92" i="9" s="1"/>
  <c r="D93" i="9"/>
  <c r="B93" i="9" s="1"/>
  <c r="E93" i="9" s="1"/>
  <c r="D94" i="9"/>
  <c r="B94" i="9" s="1"/>
  <c r="E94" i="9" s="1"/>
  <c r="D95" i="9"/>
  <c r="B95" i="9" s="1"/>
  <c r="E95" i="9" s="1"/>
  <c r="D96" i="9"/>
  <c r="B96" i="9" s="1"/>
  <c r="E96" i="9" s="1"/>
  <c r="D97" i="9"/>
  <c r="B97" i="9" s="1"/>
  <c r="E97" i="9" s="1"/>
  <c r="D98" i="9"/>
  <c r="B98" i="9" s="1"/>
  <c r="E98" i="9" s="1"/>
  <c r="D99" i="9"/>
  <c r="B99" i="9" s="1"/>
  <c r="E99" i="9" s="1"/>
  <c r="D100" i="9"/>
  <c r="B100" i="9" s="1"/>
  <c r="E100" i="9" s="1"/>
  <c r="D101" i="9"/>
  <c r="B101" i="9" s="1"/>
  <c r="E101" i="9" s="1"/>
  <c r="D102" i="9"/>
  <c r="B102" i="9" s="1"/>
  <c r="E102" i="9" s="1"/>
  <c r="D103" i="9"/>
  <c r="B103" i="9" s="1"/>
  <c r="E103" i="9" s="1"/>
  <c r="D104" i="9"/>
  <c r="B104" i="9" s="1"/>
  <c r="E104" i="9" s="1"/>
  <c r="D105" i="9"/>
  <c r="B105" i="9" s="1"/>
  <c r="E105" i="9" s="1"/>
  <c r="D106" i="9"/>
  <c r="B106" i="9" s="1"/>
  <c r="E106" i="9" s="1"/>
  <c r="D107" i="9"/>
  <c r="B107" i="9" s="1"/>
  <c r="E107" i="9" s="1"/>
  <c r="D108" i="9"/>
  <c r="B108" i="9" s="1"/>
  <c r="E108" i="9" s="1"/>
  <c r="D109" i="9"/>
  <c r="B109" i="9" s="1"/>
  <c r="E109" i="9" s="1"/>
  <c r="D110" i="9"/>
  <c r="B110" i="9" s="1"/>
  <c r="E110" i="9" s="1"/>
  <c r="D111" i="9"/>
  <c r="B111" i="9" s="1"/>
  <c r="E111" i="9" s="1"/>
  <c r="D112" i="9"/>
  <c r="B112" i="9" s="1"/>
  <c r="E112" i="9" s="1"/>
  <c r="D113" i="9"/>
  <c r="B113" i="9" s="1"/>
  <c r="E113" i="9" s="1"/>
  <c r="D114" i="9"/>
  <c r="B114" i="9" s="1"/>
  <c r="E114" i="9" s="1"/>
  <c r="D115" i="9"/>
  <c r="B115" i="9" s="1"/>
  <c r="E115" i="9" s="1"/>
  <c r="D116" i="9"/>
  <c r="B116" i="9" s="1"/>
  <c r="E116" i="9" s="1"/>
  <c r="D117" i="9"/>
  <c r="B117" i="9" s="1"/>
  <c r="E117" i="9" s="1"/>
  <c r="D118" i="9"/>
  <c r="B118" i="9" s="1"/>
  <c r="E118" i="9" s="1"/>
  <c r="D119" i="9"/>
  <c r="B119" i="9" s="1"/>
  <c r="E119" i="9" s="1"/>
  <c r="D120" i="9"/>
  <c r="B120" i="9" s="1"/>
  <c r="E120" i="9" s="1"/>
  <c r="D121" i="9"/>
  <c r="B121" i="9" s="1"/>
  <c r="E121" i="9" s="1"/>
  <c r="D122" i="9"/>
  <c r="B122" i="9" s="1"/>
  <c r="E122" i="9" s="1"/>
  <c r="D123" i="9"/>
  <c r="B123" i="9" s="1"/>
  <c r="E123" i="9" s="1"/>
  <c r="D124" i="9"/>
  <c r="B124" i="9" s="1"/>
  <c r="E124" i="9" s="1"/>
  <c r="D125" i="9"/>
  <c r="B125" i="9" s="1"/>
  <c r="E125" i="9" s="1"/>
  <c r="D126" i="9"/>
  <c r="B126" i="9" s="1"/>
  <c r="E126" i="9" s="1"/>
  <c r="D127" i="9"/>
  <c r="B127" i="9" s="1"/>
  <c r="E127" i="9" s="1"/>
  <c r="D128" i="9"/>
  <c r="B128" i="9" s="1"/>
  <c r="E128" i="9" s="1"/>
  <c r="D129" i="9"/>
  <c r="B129" i="9" s="1"/>
  <c r="E129" i="9" s="1"/>
  <c r="D130" i="9"/>
  <c r="B130" i="9" s="1"/>
  <c r="E130" i="9" s="1"/>
  <c r="D131" i="9"/>
  <c r="B131" i="9" s="1"/>
  <c r="E131" i="9" s="1"/>
  <c r="D132" i="9"/>
  <c r="B132" i="9" s="1"/>
  <c r="E132" i="9" s="1"/>
  <c r="D133" i="9"/>
  <c r="B133" i="9" s="1"/>
  <c r="E133" i="9" s="1"/>
  <c r="D134" i="9"/>
  <c r="B134" i="9" s="1"/>
  <c r="E134" i="9" s="1"/>
  <c r="D135" i="9"/>
  <c r="B135" i="9" s="1"/>
  <c r="E135" i="9" s="1"/>
  <c r="D136" i="9"/>
  <c r="B136" i="9" s="1"/>
  <c r="E136" i="9" s="1"/>
  <c r="D137" i="9"/>
  <c r="B137" i="9" s="1"/>
  <c r="E137" i="9" s="1"/>
  <c r="D138" i="9"/>
  <c r="B138" i="9" s="1"/>
  <c r="E138" i="9" s="1"/>
  <c r="D139" i="9"/>
  <c r="B139" i="9" s="1"/>
  <c r="E139" i="9" s="1"/>
  <c r="D140" i="9"/>
  <c r="B140" i="9" s="1"/>
  <c r="E140" i="9" s="1"/>
  <c r="D141" i="9"/>
  <c r="B141" i="9" s="1"/>
  <c r="E141" i="9" s="1"/>
  <c r="D142" i="9"/>
  <c r="B142" i="9" s="1"/>
  <c r="E142" i="9" s="1"/>
  <c r="D143" i="9"/>
  <c r="B143" i="9" s="1"/>
  <c r="E143" i="9" s="1"/>
  <c r="D144" i="9"/>
  <c r="B144" i="9" s="1"/>
  <c r="E144" i="9" s="1"/>
  <c r="D145" i="9"/>
  <c r="B145" i="9" s="1"/>
  <c r="E145" i="9" s="1"/>
  <c r="D146" i="9"/>
  <c r="B146" i="9" s="1"/>
  <c r="E146" i="9" s="1"/>
  <c r="D147" i="9"/>
  <c r="B147" i="9" s="1"/>
  <c r="E147" i="9" s="1"/>
  <c r="D148" i="9"/>
  <c r="B148" i="9" s="1"/>
  <c r="E148" i="9" s="1"/>
  <c r="D149" i="9"/>
  <c r="B149" i="9" s="1"/>
  <c r="E149" i="9" s="1"/>
  <c r="D150" i="9"/>
  <c r="B150" i="9" s="1"/>
  <c r="E150" i="9" s="1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B281" i="9" s="1"/>
  <c r="E281" i="9" s="1"/>
  <c r="D282" i="9"/>
  <c r="B282" i="9" s="1"/>
  <c r="E282" i="9" s="1"/>
  <c r="D283" i="9"/>
  <c r="B283" i="9" s="1"/>
  <c r="E283" i="9" s="1"/>
  <c r="D284" i="9"/>
  <c r="B284" i="9" s="1"/>
  <c r="E284" i="9" s="1"/>
  <c r="D285" i="9"/>
  <c r="B285" i="9" s="1"/>
  <c r="E285" i="9" s="1"/>
  <c r="D286" i="9"/>
  <c r="B286" i="9" s="1"/>
  <c r="E286" i="9" s="1"/>
  <c r="D287" i="9"/>
  <c r="B287" i="9" s="1"/>
  <c r="E287" i="9" s="1"/>
  <c r="D288" i="9"/>
  <c r="B288" i="9" s="1"/>
  <c r="E288" i="9" s="1"/>
  <c r="D289" i="9"/>
  <c r="B289" i="9" s="1"/>
  <c r="E289" i="9" s="1"/>
  <c r="D290" i="9"/>
  <c r="B290" i="9" s="1"/>
  <c r="E290" i="9" s="1"/>
  <c r="D291" i="9"/>
  <c r="B291" i="9" s="1"/>
  <c r="E291" i="9" s="1"/>
  <c r="D292" i="9"/>
  <c r="B292" i="9" s="1"/>
  <c r="E292" i="9" s="1"/>
  <c r="D293" i="9"/>
  <c r="B293" i="9" s="1"/>
  <c r="E293" i="9" s="1"/>
  <c r="D294" i="9"/>
  <c r="B294" i="9" s="1"/>
  <c r="E294" i="9" s="1"/>
  <c r="D295" i="9"/>
  <c r="B295" i="9" s="1"/>
  <c r="E295" i="9" s="1"/>
  <c r="D296" i="9"/>
  <c r="B296" i="9" s="1"/>
  <c r="E296" i="9" s="1"/>
  <c r="D297" i="9"/>
  <c r="B297" i="9" s="1"/>
  <c r="E297" i="9" s="1"/>
  <c r="D298" i="9"/>
  <c r="B298" i="9" s="1"/>
  <c r="E298" i="9" s="1"/>
  <c r="D299" i="9"/>
  <c r="B299" i="9" s="1"/>
  <c r="E299" i="9" s="1"/>
  <c r="D300" i="9"/>
  <c r="B300" i="9" s="1"/>
  <c r="E300" i="9" s="1"/>
  <c r="D301" i="9"/>
  <c r="B301" i="9" s="1"/>
  <c r="E301" i="9" s="1"/>
  <c r="D302" i="9"/>
  <c r="B302" i="9" s="1"/>
  <c r="E302" i="9" s="1"/>
  <c r="D303" i="9"/>
  <c r="B303" i="9" s="1"/>
  <c r="E303" i="9" s="1"/>
  <c r="D304" i="9"/>
  <c r="B304" i="9" s="1"/>
  <c r="E304" i="9" s="1"/>
  <c r="D305" i="9"/>
  <c r="B305" i="9" s="1"/>
  <c r="E305" i="9" s="1"/>
  <c r="D306" i="9"/>
  <c r="B306" i="9" s="1"/>
  <c r="E306" i="9" s="1"/>
  <c r="D307" i="9"/>
  <c r="B307" i="9" s="1"/>
  <c r="E307" i="9" s="1"/>
  <c r="D308" i="9"/>
  <c r="B308" i="9" s="1"/>
  <c r="E308" i="9" s="1"/>
  <c r="D309" i="9"/>
  <c r="B309" i="9" s="1"/>
  <c r="E309" i="9" s="1"/>
  <c r="D310" i="9"/>
  <c r="B310" i="9" s="1"/>
  <c r="E310" i="9" s="1"/>
  <c r="D311" i="9"/>
  <c r="B311" i="9" s="1"/>
  <c r="E311" i="9" s="1"/>
  <c r="D312" i="9"/>
  <c r="B312" i="9" s="1"/>
  <c r="E312" i="9" s="1"/>
  <c r="D313" i="9"/>
  <c r="B313" i="9" s="1"/>
  <c r="E313" i="9" s="1"/>
  <c r="D314" i="9"/>
  <c r="B314" i="9" s="1"/>
  <c r="E314" i="9" s="1"/>
  <c r="D315" i="9"/>
  <c r="B315" i="9" s="1"/>
  <c r="E315" i="9" s="1"/>
  <c r="D316" i="9"/>
  <c r="B316" i="9" s="1"/>
  <c r="E316" i="9" s="1"/>
  <c r="D317" i="9"/>
  <c r="B317" i="9" s="1"/>
  <c r="E317" i="9" s="1"/>
  <c r="D318" i="9"/>
  <c r="B318" i="9" s="1"/>
  <c r="E318" i="9" s="1"/>
  <c r="D319" i="9"/>
  <c r="B319" i="9" s="1"/>
  <c r="E319" i="9" s="1"/>
  <c r="D320" i="9"/>
  <c r="B320" i="9" s="1"/>
  <c r="E320" i="9" s="1"/>
  <c r="D321" i="9"/>
  <c r="B321" i="9" s="1"/>
  <c r="E321" i="9" s="1"/>
  <c r="D322" i="9"/>
  <c r="B322" i="9" s="1"/>
  <c r="E322" i="9" s="1"/>
  <c r="D323" i="9"/>
  <c r="B323" i="9" s="1"/>
  <c r="E323" i="9" s="1"/>
  <c r="D324" i="9"/>
  <c r="B324" i="9" s="1"/>
  <c r="E324" i="9" s="1"/>
  <c r="D325" i="9"/>
  <c r="B325" i="9" s="1"/>
  <c r="E325" i="9" s="1"/>
  <c r="D326" i="9"/>
  <c r="B326" i="9" s="1"/>
  <c r="E326" i="9" s="1"/>
  <c r="D327" i="9"/>
  <c r="B327" i="9" s="1"/>
  <c r="E327" i="9" s="1"/>
  <c r="D328" i="9"/>
  <c r="B328" i="9" s="1"/>
  <c r="E328" i="9" s="1"/>
  <c r="D329" i="9"/>
  <c r="B329" i="9" s="1"/>
  <c r="E329" i="9" s="1"/>
  <c r="D330" i="9"/>
  <c r="B330" i="9" s="1"/>
  <c r="E330" i="9" s="1"/>
  <c r="D331" i="9"/>
  <c r="B331" i="9" s="1"/>
  <c r="E331" i="9" s="1"/>
  <c r="D332" i="9"/>
  <c r="B332" i="9" s="1"/>
  <c r="E332" i="9" s="1"/>
  <c r="D333" i="9"/>
  <c r="B333" i="9" s="1"/>
  <c r="E333" i="9" s="1"/>
  <c r="D334" i="9"/>
  <c r="B334" i="9" s="1"/>
  <c r="E334" i="9" s="1"/>
  <c r="D335" i="9"/>
  <c r="B335" i="9" s="1"/>
  <c r="E335" i="9" s="1"/>
  <c r="D336" i="9"/>
  <c r="B336" i="9" s="1"/>
  <c r="E336" i="9" s="1"/>
  <c r="D337" i="9"/>
  <c r="B337" i="9" s="1"/>
  <c r="E337" i="9" s="1"/>
  <c r="D338" i="9"/>
  <c r="B338" i="9" s="1"/>
  <c r="E338" i="9" s="1"/>
  <c r="D339" i="9"/>
  <c r="B339" i="9" s="1"/>
  <c r="E339" i="9" s="1"/>
  <c r="D340" i="9"/>
  <c r="B340" i="9" s="1"/>
  <c r="E340" i="9" s="1"/>
  <c r="D341" i="9"/>
  <c r="B341" i="9" s="1"/>
  <c r="E341" i="9" s="1"/>
  <c r="D342" i="9"/>
  <c r="B342" i="9" s="1"/>
  <c r="E342" i="9" s="1"/>
  <c r="D343" i="9"/>
  <c r="B343" i="9" s="1"/>
  <c r="E343" i="9" s="1"/>
  <c r="D344" i="9"/>
  <c r="B344" i="9" s="1"/>
  <c r="E344" i="9" s="1"/>
  <c r="D345" i="9"/>
  <c r="B345" i="9" s="1"/>
  <c r="E345" i="9" s="1"/>
  <c r="D346" i="9"/>
  <c r="B346" i="9" s="1"/>
  <c r="E346" i="9" s="1"/>
  <c r="D347" i="9"/>
  <c r="B347" i="9" s="1"/>
  <c r="E347" i="9" s="1"/>
  <c r="D348" i="9"/>
  <c r="B348" i="9" s="1"/>
  <c r="E348" i="9" s="1"/>
  <c r="D349" i="9"/>
  <c r="B349" i="9" s="1"/>
  <c r="E349" i="9" s="1"/>
  <c r="D350" i="9"/>
  <c r="B350" i="9" s="1"/>
  <c r="E350" i="9" s="1"/>
  <c r="D351" i="9"/>
  <c r="B351" i="9" s="1"/>
  <c r="E351" i="9" s="1"/>
  <c r="D352" i="9"/>
  <c r="B352" i="9" s="1"/>
  <c r="E352" i="9" s="1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B535" i="9" s="1"/>
  <c r="E535" i="9" s="1"/>
  <c r="D536" i="9"/>
  <c r="B536" i="9" s="1"/>
  <c r="E536" i="9" s="1"/>
  <c r="D537" i="9"/>
  <c r="B537" i="9" s="1"/>
  <c r="E537" i="9" s="1"/>
  <c r="D538" i="9"/>
  <c r="B538" i="9" s="1"/>
  <c r="E538" i="9" s="1"/>
  <c r="D539" i="9"/>
  <c r="B539" i="9" s="1"/>
  <c r="E539" i="9" s="1"/>
  <c r="D540" i="9"/>
  <c r="B540" i="9" s="1"/>
  <c r="E540" i="9" s="1"/>
  <c r="D541" i="9"/>
  <c r="B541" i="9" s="1"/>
  <c r="E541" i="9" s="1"/>
  <c r="D542" i="9"/>
  <c r="B542" i="9" s="1"/>
  <c r="E542" i="9" s="1"/>
  <c r="D543" i="9"/>
  <c r="B543" i="9" s="1"/>
  <c r="E543" i="9" s="1"/>
  <c r="D544" i="9"/>
  <c r="B544" i="9" s="1"/>
  <c r="E544" i="9" s="1"/>
  <c r="D545" i="9"/>
  <c r="B545" i="9" s="1"/>
  <c r="E545" i="9" s="1"/>
  <c r="D546" i="9"/>
  <c r="B546" i="9" s="1"/>
  <c r="E546" i="9" s="1"/>
  <c r="D547" i="9"/>
  <c r="B547" i="9" s="1"/>
  <c r="E547" i="9" s="1"/>
  <c r="D548" i="9"/>
  <c r="B548" i="9" s="1"/>
  <c r="E548" i="9" s="1"/>
  <c r="D549" i="9"/>
  <c r="B549" i="9" s="1"/>
  <c r="E549" i="9" s="1"/>
  <c r="D550" i="9"/>
  <c r="B550" i="9" s="1"/>
  <c r="E550" i="9" s="1"/>
  <c r="D551" i="9"/>
  <c r="B551" i="9" s="1"/>
  <c r="E551" i="9" s="1"/>
  <c r="D552" i="9"/>
  <c r="B552" i="9" s="1"/>
  <c r="E552" i="9" s="1"/>
  <c r="D553" i="9"/>
  <c r="B553" i="9" s="1"/>
  <c r="E553" i="9" s="1"/>
  <c r="D554" i="9"/>
  <c r="B554" i="9" s="1"/>
  <c r="E554" i="9" s="1"/>
  <c r="D555" i="9"/>
  <c r="B555" i="9" s="1"/>
  <c r="E555" i="9" s="1"/>
  <c r="D556" i="9"/>
  <c r="B556" i="9" s="1"/>
  <c r="E556" i="9" s="1"/>
  <c r="D557" i="9"/>
  <c r="B557" i="9" s="1"/>
  <c r="E557" i="9" s="1"/>
  <c r="D558" i="9"/>
  <c r="B558" i="9" s="1"/>
  <c r="E558" i="9" s="1"/>
  <c r="D559" i="9"/>
  <c r="B559" i="9" s="1"/>
  <c r="E559" i="9" s="1"/>
  <c r="D560" i="9"/>
  <c r="B560" i="9" s="1"/>
  <c r="E560" i="9" s="1"/>
  <c r="D561" i="9"/>
  <c r="B561" i="9" s="1"/>
  <c r="E561" i="9" s="1"/>
  <c r="D562" i="9"/>
  <c r="B562" i="9" s="1"/>
  <c r="E562" i="9" s="1"/>
  <c r="D563" i="9"/>
  <c r="B563" i="9" s="1"/>
  <c r="E563" i="9" s="1"/>
  <c r="D564" i="9"/>
  <c r="B564" i="9" s="1"/>
  <c r="E564" i="9" s="1"/>
  <c r="D565" i="9"/>
  <c r="B565" i="9" s="1"/>
  <c r="E565" i="9" s="1"/>
  <c r="D566" i="9"/>
  <c r="B566" i="9" s="1"/>
  <c r="E566" i="9" s="1"/>
  <c r="D567" i="9"/>
  <c r="B567" i="9" s="1"/>
  <c r="E567" i="9" s="1"/>
  <c r="D568" i="9"/>
  <c r="B568" i="9" s="1"/>
  <c r="E568" i="9" s="1"/>
  <c r="D569" i="9"/>
  <c r="B569" i="9" s="1"/>
  <c r="E569" i="9" s="1"/>
  <c r="D570" i="9"/>
  <c r="B570" i="9" s="1"/>
  <c r="E570" i="9" s="1"/>
  <c r="D571" i="9"/>
  <c r="B571" i="9" s="1"/>
  <c r="E571" i="9" s="1"/>
  <c r="D572" i="9"/>
  <c r="B572" i="9" s="1"/>
  <c r="E572" i="9" s="1"/>
  <c r="D573" i="9"/>
  <c r="B573" i="9" s="1"/>
  <c r="E573" i="9" s="1"/>
  <c r="D574" i="9"/>
  <c r="B574" i="9" s="1"/>
  <c r="E574" i="9" s="1"/>
  <c r="D575" i="9"/>
  <c r="B575" i="9" s="1"/>
  <c r="E575" i="9" s="1"/>
  <c r="D576" i="9"/>
  <c r="B576" i="9" s="1"/>
  <c r="E576" i="9" s="1"/>
  <c r="D577" i="9"/>
  <c r="B577" i="9" s="1"/>
  <c r="E577" i="9" s="1"/>
  <c r="D578" i="9"/>
  <c r="B578" i="9" s="1"/>
  <c r="E578" i="9" s="1"/>
  <c r="D579" i="9"/>
  <c r="B579" i="9" s="1"/>
  <c r="E579" i="9" s="1"/>
  <c r="D580" i="9"/>
  <c r="B580" i="9" s="1"/>
  <c r="E580" i="9" s="1"/>
  <c r="D581" i="9"/>
  <c r="B581" i="9" s="1"/>
  <c r="E581" i="9" s="1"/>
  <c r="D582" i="9"/>
  <c r="B582" i="9" s="1"/>
  <c r="E582" i="9" s="1"/>
  <c r="D583" i="9"/>
  <c r="B583" i="9" s="1"/>
  <c r="E583" i="9" s="1"/>
  <c r="D584" i="9"/>
  <c r="B584" i="9" s="1"/>
  <c r="E584" i="9" s="1"/>
  <c r="D585" i="9"/>
  <c r="B585" i="9" s="1"/>
  <c r="E585" i="9" s="1"/>
  <c r="D586" i="9"/>
  <c r="B586" i="9" s="1"/>
  <c r="E586" i="9" s="1"/>
  <c r="D587" i="9"/>
  <c r="B587" i="9" s="1"/>
  <c r="E587" i="9" s="1"/>
  <c r="D588" i="9"/>
  <c r="B588" i="9" s="1"/>
  <c r="E588" i="9" s="1"/>
  <c r="D589" i="9"/>
  <c r="B589" i="9" s="1"/>
  <c r="E589" i="9" s="1"/>
  <c r="D590" i="9"/>
  <c r="B590" i="9" s="1"/>
  <c r="E590" i="9" s="1"/>
  <c r="D591" i="9"/>
  <c r="B591" i="9" s="1"/>
  <c r="E591" i="9" s="1"/>
  <c r="D592" i="9"/>
  <c r="B592" i="9" s="1"/>
  <c r="E592" i="9" s="1"/>
  <c r="D593" i="9"/>
  <c r="B593" i="9" s="1"/>
  <c r="E593" i="9" s="1"/>
  <c r="D594" i="9"/>
  <c r="B594" i="9" s="1"/>
  <c r="E594" i="9" s="1"/>
  <c r="D595" i="9"/>
  <c r="B595" i="9" s="1"/>
  <c r="E595" i="9" s="1"/>
  <c r="D596" i="9"/>
  <c r="B596" i="9" s="1"/>
  <c r="E596" i="9" s="1"/>
  <c r="D597" i="9"/>
  <c r="B597" i="9" s="1"/>
  <c r="E597" i="9" s="1"/>
  <c r="D598" i="9"/>
  <c r="B598" i="9" s="1"/>
  <c r="E598" i="9" s="1"/>
  <c r="D599" i="9"/>
  <c r="B599" i="9" s="1"/>
  <c r="E599" i="9" s="1"/>
  <c r="D600" i="9"/>
  <c r="B600" i="9" s="1"/>
  <c r="E600" i="9" s="1"/>
  <c r="D601" i="9"/>
  <c r="B601" i="9" s="1"/>
  <c r="E601" i="9" s="1"/>
  <c r="D602" i="9"/>
  <c r="B602" i="9" s="1"/>
  <c r="E602" i="9" s="1"/>
  <c r="D603" i="9"/>
  <c r="B603" i="9" s="1"/>
  <c r="E603" i="9" s="1"/>
  <c r="D604" i="9"/>
  <c r="B604" i="9" s="1"/>
  <c r="E604" i="9" s="1"/>
  <c r="D605" i="9"/>
  <c r="B605" i="9" s="1"/>
  <c r="E605" i="9" s="1"/>
  <c r="D606" i="9"/>
  <c r="B606" i="9" s="1"/>
  <c r="E606" i="9" s="1"/>
  <c r="D607" i="9"/>
  <c r="B607" i="9" s="1"/>
  <c r="E607" i="9" s="1"/>
  <c r="D608" i="9"/>
  <c r="B608" i="9" s="1"/>
  <c r="E608" i="9" s="1"/>
  <c r="D609" i="9"/>
  <c r="B609" i="9" s="1"/>
  <c r="E609" i="9" s="1"/>
  <c r="D610" i="9"/>
  <c r="B610" i="9" s="1"/>
  <c r="E610" i="9" s="1"/>
  <c r="D611" i="9"/>
  <c r="B611" i="9" s="1"/>
  <c r="E611" i="9" s="1"/>
  <c r="D612" i="9"/>
  <c r="B612" i="9" s="1"/>
  <c r="E612" i="9" s="1"/>
  <c r="D613" i="9"/>
  <c r="B613" i="9" s="1"/>
  <c r="E613" i="9" s="1"/>
  <c r="D614" i="9"/>
  <c r="B614" i="9" s="1"/>
  <c r="E614" i="9" s="1"/>
  <c r="D615" i="9"/>
  <c r="B615" i="9" s="1"/>
  <c r="E615" i="9" s="1"/>
  <c r="D616" i="9"/>
  <c r="B616" i="9" s="1"/>
  <c r="E616" i="9" s="1"/>
  <c r="D617" i="9"/>
  <c r="B617" i="9" s="1"/>
  <c r="E617" i="9" s="1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D23" i="9"/>
  <c r="B23" i="9" s="1"/>
  <c r="E23" i="9" s="1"/>
  <c r="D24" i="9"/>
  <c r="B24" i="9" s="1"/>
  <c r="E24" i="9" s="1"/>
  <c r="D25" i="9"/>
  <c r="B25" i="9" s="1"/>
  <c r="E25" i="9" s="1"/>
  <c r="D26" i="9"/>
  <c r="B26" i="9" s="1"/>
  <c r="E26" i="9" s="1"/>
  <c r="D27" i="9"/>
  <c r="B27" i="9" s="1"/>
  <c r="E27" i="9" s="1"/>
  <c r="D6" i="9"/>
  <c r="B6" i="9" s="1"/>
  <c r="E6" i="9" s="1"/>
  <c r="D7" i="9"/>
  <c r="B7" i="9" s="1"/>
  <c r="E7" i="9" s="1"/>
  <c r="D8" i="9"/>
  <c r="B8" i="9" s="1"/>
  <c r="E8" i="9" s="1"/>
  <c r="D9" i="9"/>
  <c r="B9" i="9" s="1"/>
  <c r="E9" i="9" s="1"/>
  <c r="D10" i="9"/>
  <c r="B10" i="9" s="1"/>
  <c r="E10" i="9" s="1"/>
  <c r="D11" i="9"/>
  <c r="B11" i="9" s="1"/>
  <c r="E11" i="9" s="1"/>
  <c r="D12" i="9"/>
  <c r="B12" i="9" s="1"/>
  <c r="E12" i="9" s="1"/>
  <c r="D13" i="9"/>
  <c r="B13" i="9" s="1"/>
  <c r="E13" i="9" s="1"/>
  <c r="D14" i="9"/>
  <c r="B14" i="9" s="1"/>
  <c r="E14" i="9" s="1"/>
  <c r="D15" i="9"/>
  <c r="B15" i="9" s="1"/>
  <c r="E15" i="9" s="1"/>
  <c r="D16" i="9"/>
  <c r="B16" i="9" s="1"/>
  <c r="E16" i="9" s="1"/>
  <c r="D17" i="9"/>
  <c r="B17" i="9" s="1"/>
  <c r="E17" i="9" s="1"/>
  <c r="D18" i="9"/>
  <c r="B18" i="9" s="1"/>
  <c r="E18" i="9" s="1"/>
  <c r="D19" i="9"/>
  <c r="B19" i="9" s="1"/>
  <c r="E19" i="9" s="1"/>
  <c r="D20" i="9"/>
  <c r="B20" i="9" s="1"/>
  <c r="E20" i="9" s="1"/>
  <c r="D21" i="9"/>
  <c r="B21" i="9" s="1"/>
  <c r="E21" i="9" s="1"/>
  <c r="D22" i="9"/>
  <c r="B22" i="9" s="1"/>
  <c r="E22" i="9" s="1"/>
  <c r="D5" i="9"/>
  <c r="A21" i="9"/>
  <c r="A22" i="9"/>
  <c r="A23" i="9"/>
  <c r="A24" i="9"/>
  <c r="A25" i="9"/>
  <c r="A26" i="9"/>
  <c r="A27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5" i="9"/>
  <c r="C5" i="5"/>
  <c r="B357" i="9" l="1"/>
  <c r="E357" i="9" s="1"/>
  <c r="B358" i="9"/>
  <c r="E358" i="9" s="1"/>
  <c r="B359" i="9"/>
  <c r="E359" i="9" s="1"/>
  <c r="B360" i="9"/>
  <c r="E360" i="9" s="1"/>
  <c r="B361" i="9"/>
  <c r="E361" i="9" s="1"/>
  <c r="B362" i="9"/>
  <c r="E362" i="9" s="1"/>
  <c r="B363" i="9"/>
  <c r="E363" i="9" s="1"/>
  <c r="B364" i="9"/>
  <c r="E364" i="9" s="1"/>
  <c r="B365" i="9"/>
  <c r="E365" i="9" s="1"/>
  <c r="B366" i="9"/>
  <c r="E366" i="9" s="1"/>
  <c r="B367" i="9"/>
  <c r="E367" i="9" s="1"/>
  <c r="B368" i="9"/>
  <c r="E368" i="9" s="1"/>
  <c r="B369" i="9"/>
  <c r="E369" i="9" s="1"/>
  <c r="B370" i="9"/>
  <c r="E370" i="9" s="1"/>
  <c r="B371" i="9"/>
  <c r="E371" i="9" s="1"/>
  <c r="B372" i="9"/>
  <c r="E372" i="9" s="1"/>
  <c r="B373" i="9"/>
  <c r="E373" i="9" s="1"/>
  <c r="B374" i="9"/>
  <c r="E374" i="9" s="1"/>
  <c r="B375" i="9"/>
  <c r="E375" i="9" s="1"/>
  <c r="B376" i="9"/>
  <c r="E376" i="9" s="1"/>
  <c r="B377" i="9"/>
  <c r="E377" i="9" s="1"/>
  <c r="B378" i="9"/>
  <c r="E378" i="9" s="1"/>
  <c r="B379" i="9"/>
  <c r="E379" i="9" s="1"/>
  <c r="B380" i="9"/>
  <c r="E380" i="9" s="1"/>
  <c r="B381" i="9"/>
  <c r="E381" i="9" s="1"/>
  <c r="B382" i="9"/>
  <c r="E382" i="9" s="1"/>
  <c r="B383" i="9"/>
  <c r="E383" i="9" s="1"/>
  <c r="B384" i="9"/>
  <c r="E384" i="9" s="1"/>
  <c r="B385" i="9"/>
  <c r="E385" i="9" s="1"/>
  <c r="B386" i="9"/>
  <c r="E386" i="9" s="1"/>
  <c r="B151" i="9"/>
  <c r="E151" i="9" s="1"/>
  <c r="B152" i="9"/>
  <c r="E152" i="9" s="1"/>
  <c r="B153" i="9"/>
  <c r="E153" i="9" s="1"/>
  <c r="B154" i="9"/>
  <c r="E154" i="9" s="1"/>
  <c r="B155" i="9"/>
  <c r="E155" i="9" s="1"/>
  <c r="B156" i="9"/>
  <c r="E156" i="9" s="1"/>
  <c r="B157" i="9"/>
  <c r="E157" i="9" s="1"/>
  <c r="B158" i="9"/>
  <c r="E158" i="9" s="1"/>
  <c r="B159" i="9"/>
  <c r="E159" i="9" s="1"/>
  <c r="B160" i="9"/>
  <c r="E160" i="9" s="1"/>
  <c r="B161" i="9"/>
  <c r="E161" i="9" s="1"/>
  <c r="B162" i="9"/>
  <c r="E162" i="9" s="1"/>
  <c r="B163" i="9"/>
  <c r="E163" i="9" s="1"/>
  <c r="B164" i="9"/>
  <c r="E164" i="9" s="1"/>
  <c r="B165" i="9"/>
  <c r="E165" i="9" s="1"/>
  <c r="B166" i="9"/>
  <c r="E166" i="9" s="1"/>
  <c r="B167" i="9"/>
  <c r="E167" i="9" s="1"/>
  <c r="B168" i="9"/>
  <c r="E168" i="9" s="1"/>
  <c r="B169" i="9"/>
  <c r="E169" i="9" s="1"/>
  <c r="B170" i="9"/>
  <c r="E170" i="9" s="1"/>
  <c r="B171" i="9"/>
  <c r="E171" i="9" s="1"/>
  <c r="B172" i="9"/>
  <c r="E172" i="9" s="1"/>
  <c r="B173" i="9"/>
  <c r="E173" i="9" s="1"/>
  <c r="B174" i="9"/>
  <c r="E174" i="9" s="1"/>
  <c r="B175" i="9"/>
  <c r="E175" i="9" s="1"/>
  <c r="B176" i="9"/>
  <c r="E176" i="9" s="1"/>
  <c r="B177" i="9"/>
  <c r="E177" i="9" s="1"/>
  <c r="B178" i="9"/>
  <c r="E178" i="9" s="1"/>
  <c r="B179" i="9"/>
  <c r="E179" i="9" s="1"/>
  <c r="B180" i="9"/>
  <c r="E180" i="9" s="1"/>
  <c r="B181" i="9"/>
  <c r="E181" i="9" s="1"/>
  <c r="B182" i="9"/>
  <c r="E182" i="9" s="1"/>
  <c r="B183" i="9"/>
  <c r="E183" i="9" s="1"/>
  <c r="B184" i="9"/>
  <c r="E184" i="9" s="1"/>
  <c r="B185" i="9"/>
  <c r="E185" i="9" s="1"/>
  <c r="B186" i="9"/>
  <c r="E186" i="9" s="1"/>
  <c r="B187" i="9"/>
  <c r="E187" i="9" s="1"/>
  <c r="B188" i="9"/>
  <c r="E188" i="9" s="1"/>
  <c r="B189" i="9"/>
  <c r="E189" i="9" s="1"/>
  <c r="B190" i="9"/>
  <c r="E190" i="9" s="1"/>
  <c r="B191" i="9"/>
  <c r="E191" i="9" s="1"/>
  <c r="B192" i="9"/>
  <c r="E192" i="9" s="1"/>
  <c r="B193" i="9"/>
  <c r="E193" i="9" s="1"/>
  <c r="B194" i="9"/>
  <c r="E194" i="9" s="1"/>
  <c r="B195" i="9"/>
  <c r="E195" i="9" s="1"/>
  <c r="B196" i="9"/>
  <c r="E196" i="9" s="1"/>
  <c r="B197" i="9"/>
  <c r="E197" i="9" s="1"/>
  <c r="B198" i="9"/>
  <c r="E198" i="9" s="1"/>
  <c r="B199" i="9"/>
  <c r="E199" i="9" s="1"/>
  <c r="B200" i="9"/>
  <c r="E200" i="9" s="1"/>
  <c r="B201" i="9"/>
  <c r="E201" i="9" s="1"/>
  <c r="B202" i="9"/>
  <c r="E202" i="9" s="1"/>
  <c r="B203" i="9"/>
  <c r="E203" i="9" s="1"/>
  <c r="B204" i="9"/>
  <c r="E204" i="9" s="1"/>
  <c r="B205" i="9"/>
  <c r="E205" i="9" s="1"/>
  <c r="B206" i="9"/>
  <c r="E206" i="9" s="1"/>
  <c r="B207" i="9"/>
  <c r="E207" i="9" s="1"/>
  <c r="B208" i="9"/>
  <c r="E208" i="9" s="1"/>
  <c r="B209" i="9"/>
  <c r="E209" i="9" s="1"/>
  <c r="B210" i="9"/>
  <c r="E210" i="9" s="1"/>
  <c r="B211" i="9"/>
  <c r="E211" i="9" s="1"/>
  <c r="B212" i="9"/>
  <c r="E212" i="9" s="1"/>
  <c r="B213" i="9"/>
  <c r="E213" i="9" s="1"/>
  <c r="B214" i="9"/>
  <c r="E214" i="9" s="1"/>
  <c r="B215" i="9"/>
  <c r="E215" i="9" s="1"/>
  <c r="B216" i="9"/>
  <c r="E216" i="9" s="1"/>
  <c r="B217" i="9"/>
  <c r="E217" i="9" s="1"/>
  <c r="B218" i="9"/>
  <c r="E218" i="9" s="1"/>
  <c r="B219" i="9"/>
  <c r="E219" i="9" s="1"/>
  <c r="B220" i="9"/>
  <c r="E220" i="9" s="1"/>
  <c r="B221" i="9"/>
  <c r="E221" i="9" s="1"/>
  <c r="B222" i="9"/>
  <c r="E222" i="9" s="1"/>
  <c r="B223" i="9"/>
  <c r="E223" i="9" s="1"/>
  <c r="B224" i="9"/>
  <c r="E224" i="9" s="1"/>
  <c r="B225" i="9"/>
  <c r="E225" i="9" s="1"/>
  <c r="B226" i="9"/>
  <c r="E226" i="9" s="1"/>
  <c r="B227" i="9"/>
  <c r="E227" i="9" s="1"/>
  <c r="B228" i="9"/>
  <c r="E228" i="9" s="1"/>
  <c r="B229" i="9"/>
  <c r="E229" i="9" s="1"/>
  <c r="B230" i="9"/>
  <c r="E230" i="9" s="1"/>
  <c r="B231" i="9"/>
  <c r="E231" i="9" s="1"/>
  <c r="B232" i="9"/>
  <c r="E232" i="9" s="1"/>
  <c r="B233" i="9"/>
  <c r="E233" i="9" s="1"/>
  <c r="B234" i="9"/>
  <c r="E234" i="9" s="1"/>
  <c r="B235" i="9"/>
  <c r="E235" i="9" s="1"/>
  <c r="B236" i="9"/>
  <c r="E236" i="9" s="1"/>
  <c r="B237" i="9"/>
  <c r="E237" i="9" s="1"/>
  <c r="B238" i="9"/>
  <c r="E238" i="9" s="1"/>
  <c r="B239" i="9"/>
  <c r="E239" i="9" s="1"/>
  <c r="B240" i="9"/>
  <c r="E240" i="9" s="1"/>
  <c r="B241" i="9"/>
  <c r="E241" i="9" s="1"/>
  <c r="B242" i="9"/>
  <c r="E242" i="9" s="1"/>
  <c r="B243" i="9"/>
  <c r="E243" i="9" s="1"/>
  <c r="B244" i="9"/>
  <c r="E244" i="9" s="1"/>
  <c r="B245" i="9"/>
  <c r="E245" i="9" s="1"/>
  <c r="B246" i="9"/>
  <c r="E246" i="9" s="1"/>
  <c r="B247" i="9"/>
  <c r="E247" i="9" s="1"/>
  <c r="B248" i="9"/>
  <c r="E248" i="9" s="1"/>
  <c r="B249" i="9"/>
  <c r="E249" i="9" s="1"/>
  <c r="B250" i="9"/>
  <c r="E250" i="9" s="1"/>
  <c r="B251" i="9"/>
  <c r="E251" i="9" s="1"/>
  <c r="B252" i="9"/>
  <c r="E252" i="9" s="1"/>
  <c r="B253" i="9"/>
  <c r="E253" i="9" s="1"/>
  <c r="B254" i="9"/>
  <c r="E254" i="9" s="1"/>
  <c r="B255" i="9"/>
  <c r="E255" i="9" s="1"/>
  <c r="B256" i="9"/>
  <c r="E256" i="9" s="1"/>
  <c r="B257" i="9"/>
  <c r="E257" i="9" s="1"/>
  <c r="B258" i="9"/>
  <c r="E258" i="9" s="1"/>
  <c r="B259" i="9"/>
  <c r="E259" i="9" s="1"/>
  <c r="B260" i="9"/>
  <c r="E260" i="9" s="1"/>
  <c r="B261" i="9"/>
  <c r="E261" i="9" s="1"/>
  <c r="B262" i="9"/>
  <c r="E262" i="9" s="1"/>
  <c r="B263" i="9"/>
  <c r="E263" i="9" s="1"/>
  <c r="B264" i="9"/>
  <c r="E264" i="9" s="1"/>
  <c r="B265" i="9"/>
  <c r="E265" i="9" s="1"/>
  <c r="B266" i="9"/>
  <c r="E266" i="9" s="1"/>
  <c r="B267" i="9"/>
  <c r="E267" i="9" s="1"/>
  <c r="B461" i="9"/>
  <c r="E461" i="9" s="1"/>
  <c r="B464" i="9"/>
  <c r="E464" i="9" s="1"/>
  <c r="B466" i="9"/>
  <c r="E466" i="9" s="1"/>
  <c r="B468" i="9"/>
  <c r="E468" i="9" s="1"/>
  <c r="B470" i="9"/>
  <c r="E470" i="9" s="1"/>
  <c r="B268" i="9"/>
  <c r="E268" i="9" s="1"/>
  <c r="B269" i="9"/>
  <c r="E269" i="9" s="1"/>
  <c r="B270" i="9"/>
  <c r="E270" i="9" s="1"/>
  <c r="B271" i="9"/>
  <c r="E271" i="9" s="1"/>
  <c r="B272" i="9"/>
  <c r="E272" i="9" s="1"/>
  <c r="B273" i="9"/>
  <c r="E273" i="9" s="1"/>
  <c r="B274" i="9"/>
  <c r="E274" i="9" s="1"/>
  <c r="B275" i="9"/>
  <c r="E275" i="9" s="1"/>
  <c r="B276" i="9"/>
  <c r="E276" i="9" s="1"/>
  <c r="B277" i="9"/>
  <c r="E277" i="9" s="1"/>
  <c r="B278" i="9"/>
  <c r="E278" i="9" s="1"/>
  <c r="B279" i="9"/>
  <c r="E279" i="9" s="1"/>
  <c r="B280" i="9"/>
  <c r="E280" i="9" s="1"/>
  <c r="B353" i="9"/>
  <c r="E353" i="9" s="1"/>
  <c r="B354" i="9"/>
  <c r="E354" i="9" s="1"/>
  <c r="B355" i="9"/>
  <c r="E355" i="9" s="1"/>
  <c r="B356" i="9"/>
  <c r="E356" i="9" s="1"/>
  <c r="B387" i="9"/>
  <c r="E387" i="9" s="1"/>
  <c r="B388" i="9"/>
  <c r="E388" i="9" s="1"/>
  <c r="B389" i="9"/>
  <c r="E389" i="9" s="1"/>
  <c r="B390" i="9"/>
  <c r="E390" i="9" s="1"/>
  <c r="B391" i="9"/>
  <c r="E391" i="9" s="1"/>
  <c r="B392" i="9"/>
  <c r="E392" i="9" s="1"/>
  <c r="B393" i="9"/>
  <c r="E393" i="9" s="1"/>
  <c r="B394" i="9"/>
  <c r="E394" i="9" s="1"/>
  <c r="B395" i="9"/>
  <c r="E395" i="9" s="1"/>
  <c r="B396" i="9"/>
  <c r="E396" i="9" s="1"/>
  <c r="B397" i="9"/>
  <c r="E397" i="9" s="1"/>
  <c r="B398" i="9"/>
  <c r="E398" i="9" s="1"/>
  <c r="B399" i="9"/>
  <c r="E399" i="9" s="1"/>
  <c r="B400" i="9"/>
  <c r="E400" i="9" s="1"/>
  <c r="B401" i="9"/>
  <c r="E401" i="9" s="1"/>
  <c r="B402" i="9"/>
  <c r="E402" i="9" s="1"/>
  <c r="B403" i="9"/>
  <c r="E403" i="9" s="1"/>
  <c r="B404" i="9"/>
  <c r="E404" i="9" s="1"/>
  <c r="B405" i="9"/>
  <c r="E405" i="9" s="1"/>
  <c r="B406" i="9"/>
  <c r="E406" i="9" s="1"/>
  <c r="B407" i="9"/>
  <c r="E407" i="9" s="1"/>
  <c r="B408" i="9"/>
  <c r="E408" i="9" s="1"/>
  <c r="B409" i="9"/>
  <c r="E409" i="9" s="1"/>
  <c r="B410" i="9"/>
  <c r="E410" i="9" s="1"/>
  <c r="B411" i="9"/>
  <c r="E411" i="9" s="1"/>
  <c r="B412" i="9"/>
  <c r="E412" i="9" s="1"/>
  <c r="B413" i="9"/>
  <c r="E413" i="9" s="1"/>
  <c r="B414" i="9"/>
  <c r="E414" i="9" s="1"/>
  <c r="B415" i="9"/>
  <c r="E415" i="9" s="1"/>
  <c r="B416" i="9"/>
  <c r="E416" i="9" s="1"/>
  <c r="B417" i="9"/>
  <c r="E417" i="9" s="1"/>
  <c r="B418" i="9"/>
  <c r="E418" i="9" s="1"/>
  <c r="B419" i="9"/>
  <c r="E419" i="9" s="1"/>
  <c r="B420" i="9"/>
  <c r="E420" i="9" s="1"/>
  <c r="B421" i="9"/>
  <c r="E421" i="9" s="1"/>
  <c r="B422" i="9"/>
  <c r="E422" i="9" s="1"/>
  <c r="B423" i="9"/>
  <c r="E423" i="9" s="1"/>
  <c r="B424" i="9"/>
  <c r="E424" i="9" s="1"/>
  <c r="B425" i="9"/>
  <c r="E425" i="9" s="1"/>
  <c r="B426" i="9"/>
  <c r="E426" i="9" s="1"/>
  <c r="B427" i="9"/>
  <c r="E427" i="9" s="1"/>
  <c r="B428" i="9"/>
  <c r="E428" i="9" s="1"/>
  <c r="B429" i="9"/>
  <c r="E429" i="9" s="1"/>
  <c r="B430" i="9"/>
  <c r="E430" i="9" s="1"/>
  <c r="B431" i="9"/>
  <c r="E431" i="9" s="1"/>
  <c r="B432" i="9"/>
  <c r="E432" i="9" s="1"/>
  <c r="B433" i="9"/>
  <c r="E433" i="9" s="1"/>
  <c r="B434" i="9"/>
  <c r="E434" i="9" s="1"/>
  <c r="B435" i="9"/>
  <c r="E435" i="9" s="1"/>
  <c r="B436" i="9"/>
  <c r="E436" i="9" s="1"/>
  <c r="B437" i="9"/>
  <c r="E437" i="9" s="1"/>
  <c r="B438" i="9"/>
  <c r="E438" i="9" s="1"/>
  <c r="B439" i="9"/>
  <c r="E439" i="9" s="1"/>
  <c r="B440" i="9"/>
  <c r="E440" i="9" s="1"/>
  <c r="B441" i="9"/>
  <c r="E441" i="9" s="1"/>
  <c r="B442" i="9"/>
  <c r="E442" i="9" s="1"/>
  <c r="B443" i="9"/>
  <c r="E443" i="9" s="1"/>
  <c r="B444" i="9"/>
  <c r="E444" i="9" s="1"/>
  <c r="B445" i="9"/>
  <c r="E445" i="9" s="1"/>
  <c r="B446" i="9"/>
  <c r="E446" i="9" s="1"/>
  <c r="B447" i="9"/>
  <c r="E447" i="9" s="1"/>
  <c r="B448" i="9"/>
  <c r="E448" i="9" s="1"/>
  <c r="B449" i="9"/>
  <c r="E449" i="9" s="1"/>
  <c r="B450" i="9"/>
  <c r="E450" i="9" s="1"/>
  <c r="B451" i="9"/>
  <c r="E451" i="9" s="1"/>
  <c r="B452" i="9"/>
  <c r="E452" i="9" s="1"/>
  <c r="B453" i="9"/>
  <c r="E453" i="9" s="1"/>
  <c r="B454" i="9"/>
  <c r="E454" i="9" s="1"/>
  <c r="B455" i="9"/>
  <c r="E455" i="9" s="1"/>
  <c r="B456" i="9"/>
  <c r="E456" i="9" s="1"/>
  <c r="B457" i="9"/>
  <c r="E457" i="9" s="1"/>
  <c r="B458" i="9"/>
  <c r="E458" i="9" s="1"/>
  <c r="B459" i="9"/>
  <c r="E459" i="9" s="1"/>
  <c r="B460" i="9"/>
  <c r="E460" i="9" s="1"/>
  <c r="B462" i="9"/>
  <c r="E462" i="9" s="1"/>
  <c r="B463" i="9"/>
  <c r="E463" i="9" s="1"/>
  <c r="B465" i="9"/>
  <c r="E465" i="9" s="1"/>
  <c r="B467" i="9"/>
  <c r="E467" i="9" s="1"/>
  <c r="B469" i="9"/>
  <c r="E469" i="9" s="1"/>
  <c r="B669" i="9"/>
  <c r="E669" i="9" s="1"/>
  <c r="B471" i="9"/>
  <c r="E471" i="9" s="1"/>
  <c r="B472" i="9"/>
  <c r="E472" i="9" s="1"/>
  <c r="B473" i="9"/>
  <c r="E473" i="9" s="1"/>
  <c r="B474" i="9"/>
  <c r="E474" i="9" s="1"/>
  <c r="B475" i="9"/>
  <c r="E475" i="9" s="1"/>
  <c r="B476" i="9"/>
  <c r="E476" i="9" s="1"/>
  <c r="B477" i="9"/>
  <c r="E477" i="9" s="1"/>
  <c r="B478" i="9"/>
  <c r="E478" i="9" s="1"/>
  <c r="B479" i="9"/>
  <c r="E479" i="9" s="1"/>
  <c r="B480" i="9"/>
  <c r="E480" i="9" s="1"/>
  <c r="B481" i="9"/>
  <c r="E481" i="9" s="1"/>
  <c r="B482" i="9"/>
  <c r="E482" i="9" s="1"/>
  <c r="B483" i="9"/>
  <c r="E483" i="9" s="1"/>
  <c r="B484" i="9"/>
  <c r="E484" i="9" s="1"/>
  <c r="B485" i="9"/>
  <c r="E485" i="9" s="1"/>
  <c r="B486" i="9"/>
  <c r="E486" i="9" s="1"/>
  <c r="B487" i="9"/>
  <c r="E487" i="9" s="1"/>
  <c r="B488" i="9"/>
  <c r="E488" i="9" s="1"/>
  <c r="B489" i="9"/>
  <c r="E489" i="9" s="1"/>
  <c r="B490" i="9"/>
  <c r="E490" i="9" s="1"/>
  <c r="B491" i="9"/>
  <c r="E491" i="9" s="1"/>
  <c r="B492" i="9"/>
  <c r="E492" i="9" s="1"/>
  <c r="B493" i="9"/>
  <c r="E493" i="9" s="1"/>
  <c r="B494" i="9"/>
  <c r="E494" i="9" s="1"/>
  <c r="B495" i="9"/>
  <c r="E495" i="9" s="1"/>
  <c r="B496" i="9"/>
  <c r="E496" i="9" s="1"/>
  <c r="B497" i="9"/>
  <c r="E497" i="9" s="1"/>
  <c r="B498" i="9"/>
  <c r="E498" i="9" s="1"/>
  <c r="B499" i="9"/>
  <c r="E499" i="9" s="1"/>
  <c r="B500" i="9"/>
  <c r="E500" i="9" s="1"/>
  <c r="B501" i="9"/>
  <c r="E501" i="9" s="1"/>
  <c r="B502" i="9"/>
  <c r="E502" i="9" s="1"/>
  <c r="B503" i="9"/>
  <c r="E503" i="9" s="1"/>
  <c r="B504" i="9"/>
  <c r="E504" i="9" s="1"/>
  <c r="B505" i="9"/>
  <c r="E505" i="9" s="1"/>
  <c r="B506" i="9"/>
  <c r="E506" i="9" s="1"/>
  <c r="B507" i="9"/>
  <c r="E507" i="9" s="1"/>
  <c r="B508" i="9"/>
  <c r="E508" i="9" s="1"/>
  <c r="B509" i="9"/>
  <c r="E509" i="9" s="1"/>
  <c r="B510" i="9"/>
  <c r="E510" i="9" s="1"/>
  <c r="B511" i="9"/>
  <c r="E511" i="9" s="1"/>
  <c r="B512" i="9"/>
  <c r="E512" i="9" s="1"/>
  <c r="B513" i="9"/>
  <c r="E513" i="9" s="1"/>
  <c r="B514" i="9"/>
  <c r="E514" i="9" s="1"/>
  <c r="B515" i="9"/>
  <c r="E515" i="9" s="1"/>
  <c r="B516" i="9"/>
  <c r="E516" i="9" s="1"/>
  <c r="B517" i="9"/>
  <c r="E517" i="9" s="1"/>
  <c r="B518" i="9"/>
  <c r="E518" i="9" s="1"/>
  <c r="B519" i="9"/>
  <c r="E519" i="9" s="1"/>
  <c r="B520" i="9"/>
  <c r="E520" i="9" s="1"/>
  <c r="B521" i="9"/>
  <c r="E521" i="9" s="1"/>
  <c r="B522" i="9"/>
  <c r="E522" i="9" s="1"/>
  <c r="B523" i="9"/>
  <c r="E523" i="9" s="1"/>
  <c r="B524" i="9"/>
  <c r="E524" i="9" s="1"/>
  <c r="B525" i="9"/>
  <c r="E525" i="9" s="1"/>
  <c r="B526" i="9"/>
  <c r="E526" i="9" s="1"/>
  <c r="B527" i="9"/>
  <c r="E527" i="9" s="1"/>
  <c r="B528" i="9"/>
  <c r="E528" i="9" s="1"/>
  <c r="B529" i="9"/>
  <c r="E529" i="9" s="1"/>
  <c r="B530" i="9"/>
  <c r="E530" i="9" s="1"/>
  <c r="B531" i="9"/>
  <c r="E531" i="9" s="1"/>
  <c r="B532" i="9"/>
  <c r="E532" i="9" s="1"/>
  <c r="B533" i="9"/>
  <c r="E533" i="9" s="1"/>
  <c r="B534" i="9"/>
  <c r="E534" i="9" s="1"/>
  <c r="B618" i="9"/>
  <c r="E618" i="9" s="1"/>
  <c r="B619" i="9"/>
  <c r="E619" i="9" s="1"/>
  <c r="B620" i="9"/>
  <c r="E620" i="9" s="1"/>
  <c r="B621" i="9"/>
  <c r="E621" i="9" s="1"/>
  <c r="B622" i="9"/>
  <c r="E622" i="9" s="1"/>
  <c r="B623" i="9"/>
  <c r="E623" i="9" s="1"/>
  <c r="B624" i="9"/>
  <c r="E624" i="9" s="1"/>
  <c r="B625" i="9"/>
  <c r="E625" i="9" s="1"/>
  <c r="B626" i="9"/>
  <c r="E626" i="9" s="1"/>
  <c r="B627" i="9"/>
  <c r="E627" i="9" s="1"/>
  <c r="B628" i="9"/>
  <c r="E628" i="9" s="1"/>
  <c r="B629" i="9"/>
  <c r="E629" i="9" s="1"/>
  <c r="B630" i="9"/>
  <c r="E630" i="9" s="1"/>
  <c r="B631" i="9"/>
  <c r="E631" i="9" s="1"/>
  <c r="B632" i="9"/>
  <c r="E632" i="9" s="1"/>
  <c r="B633" i="9"/>
  <c r="E633" i="9" s="1"/>
  <c r="B634" i="9"/>
  <c r="E634" i="9" s="1"/>
  <c r="B635" i="9"/>
  <c r="E635" i="9" s="1"/>
  <c r="B636" i="9"/>
  <c r="E636" i="9" s="1"/>
  <c r="B637" i="9"/>
  <c r="E637" i="9" s="1"/>
  <c r="B638" i="9"/>
  <c r="E638" i="9" s="1"/>
  <c r="B639" i="9"/>
  <c r="E639" i="9" s="1"/>
  <c r="B640" i="9"/>
  <c r="E640" i="9" s="1"/>
  <c r="B641" i="9"/>
  <c r="E641" i="9" s="1"/>
  <c r="B642" i="9"/>
  <c r="E642" i="9" s="1"/>
  <c r="B643" i="9"/>
  <c r="E643" i="9" s="1"/>
  <c r="B644" i="9"/>
  <c r="E644" i="9" s="1"/>
  <c r="B645" i="9"/>
  <c r="E645" i="9" s="1"/>
  <c r="B646" i="9"/>
  <c r="E646" i="9" s="1"/>
  <c r="B647" i="9"/>
  <c r="E647" i="9" s="1"/>
  <c r="B648" i="9"/>
  <c r="E648" i="9" s="1"/>
  <c r="B649" i="9"/>
  <c r="E649" i="9" s="1"/>
  <c r="B650" i="9"/>
  <c r="E650" i="9" s="1"/>
  <c r="B651" i="9"/>
  <c r="E651" i="9" s="1"/>
  <c r="B652" i="9"/>
  <c r="E652" i="9" s="1"/>
  <c r="B653" i="9"/>
  <c r="E653" i="9" s="1"/>
  <c r="B654" i="9"/>
  <c r="E654" i="9" s="1"/>
  <c r="B655" i="9"/>
  <c r="E655" i="9" s="1"/>
  <c r="B656" i="9"/>
  <c r="E656" i="9" s="1"/>
  <c r="B657" i="9"/>
  <c r="E657" i="9" s="1"/>
  <c r="B658" i="9"/>
  <c r="E658" i="9" s="1"/>
  <c r="B659" i="9"/>
  <c r="E659" i="9" s="1"/>
  <c r="B660" i="9"/>
  <c r="E660" i="9" s="1"/>
  <c r="B661" i="9"/>
  <c r="E661" i="9" s="1"/>
  <c r="B662" i="9"/>
  <c r="E662" i="9" s="1"/>
  <c r="B663" i="9"/>
  <c r="E663" i="9" s="1"/>
  <c r="B664" i="9"/>
  <c r="E664" i="9" s="1"/>
  <c r="B665" i="9"/>
  <c r="E665" i="9" s="1"/>
  <c r="B666" i="9"/>
  <c r="E666" i="9" s="1"/>
  <c r="B667" i="9"/>
  <c r="E667" i="9" s="1"/>
  <c r="B668" i="9"/>
  <c r="E668" i="9" s="1"/>
  <c r="B670" i="9"/>
  <c r="E670" i="9" s="1"/>
  <c r="B5" i="9" l="1"/>
  <c r="E5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tc={F995505B-96CD-4220-AC05-1D9B1A2C297A}</author>
  </authors>
  <commentList>
    <comment ref="B311" authorId="0" shapeId="0" xr:uid="{F995505B-96CD-4220-AC05-1D9B1A2C297A}">
      <text>
        <t>[Threaded comment]
Your version of Excel allows you to read this threaded comment; however, any edits to it will get removed if the file is opened in a newer version of Excel. Learn more: https://go.microsoft.com/fwlink/?linkid=870924
Comment:
    @Cooper, Marzban GIZ JO  to be invited</t>
      </text>
    </comment>
  </commentList>
</comments>
</file>

<file path=xl/sharedStrings.xml><?xml version="1.0" encoding="utf-8"?>
<sst xmlns="http://schemas.openxmlformats.org/spreadsheetml/2006/main" count="15947" uniqueCount="3527">
  <si>
    <t>E4ED Startups</t>
  </si>
  <si>
    <t>Governorate</t>
  </si>
  <si>
    <t>Total start-ups</t>
  </si>
  <si>
    <t>Led start-ups</t>
  </si>
  <si>
    <t>Women-led %</t>
  </si>
  <si>
    <t>employed</t>
  </si>
  <si>
    <t>Economic sector</t>
  </si>
  <si>
    <t>Male</t>
  </si>
  <si>
    <t>Female</t>
  </si>
  <si>
    <t>Count of Governorate</t>
  </si>
  <si>
    <t>Column Labels</t>
  </si>
  <si>
    <t>Row Labels</t>
  </si>
  <si>
    <t>(blank)</t>
  </si>
  <si>
    <t>Grand Total</t>
  </si>
  <si>
    <t>Ajlun</t>
  </si>
  <si>
    <t>Amman</t>
  </si>
  <si>
    <t>Aqaba</t>
  </si>
  <si>
    <t>Balqa</t>
  </si>
  <si>
    <t>Irbid</t>
  </si>
  <si>
    <t>Jarash</t>
  </si>
  <si>
    <t>Karak</t>
  </si>
  <si>
    <t>Maan</t>
  </si>
  <si>
    <t>Madaba</t>
  </si>
  <si>
    <t>Mafraq</t>
  </si>
  <si>
    <t>Tafilah</t>
  </si>
  <si>
    <t>Zarqa</t>
  </si>
  <si>
    <t xml:space="preserve">Data E4DE </t>
  </si>
  <si>
    <t>Women-led</t>
  </si>
  <si>
    <t>Economic Sector</t>
  </si>
  <si>
    <t>Staff Delta</t>
  </si>
  <si>
    <t>Wholesale and retail trade; repair of motor vehicles and motorcycles</t>
  </si>
  <si>
    <t>Accommodation and food service activities</t>
  </si>
  <si>
    <t>Agriculture, forestry and fishing</t>
  </si>
  <si>
    <t>Manufacturing</t>
  </si>
  <si>
    <t>Information and communication</t>
  </si>
  <si>
    <t>Water supply, Sewerage, Waste Management and Remediation Activities</t>
  </si>
  <si>
    <t>Financial and insurance activities</t>
  </si>
  <si>
    <t>Human health and social work activities</t>
  </si>
  <si>
    <t>Water supply; sewerage, waste management and remediation activities</t>
  </si>
  <si>
    <t>Administrative and support service activities</t>
  </si>
  <si>
    <t>Education</t>
  </si>
  <si>
    <t>Professional, scientific and technical activities</t>
  </si>
  <si>
    <t>Arts, entertainment and recreation</t>
  </si>
  <si>
    <t>Transportation and storage</t>
  </si>
  <si>
    <t>Real estate activities</t>
  </si>
  <si>
    <t>Construction</t>
  </si>
  <si>
    <t>Electricity, gas, steam and air conditioning supply</t>
  </si>
  <si>
    <t>Agriculture</t>
  </si>
  <si>
    <t>Agritech</t>
  </si>
  <si>
    <t>-</t>
  </si>
  <si>
    <t>Public administration and defense; compulsory social security</t>
  </si>
  <si>
    <t>E4DE code</t>
  </si>
  <si>
    <t>Activity</t>
  </si>
  <si>
    <t>Startup name</t>
  </si>
  <si>
    <t>Programme stage</t>
  </si>
  <si>
    <t>Participant gender</t>
  </si>
  <si>
    <t>Participant age b-</t>
  </si>
  <si>
    <t>Nationality</t>
  </si>
  <si>
    <t>ICON status</t>
  </si>
  <si>
    <t>Event registration status</t>
  </si>
  <si>
    <t>Registration matching note</t>
  </si>
  <si>
    <t>employed_w2 flag</t>
  </si>
  <si>
    <t>Self-employed</t>
  </si>
  <si>
    <t>Employees</t>
  </si>
  <si>
    <t>Female employees</t>
  </si>
  <si>
    <t>Employees age 18–25</t>
  </si>
  <si>
    <t>Refugee employees</t>
  </si>
  <si>
    <t>Total current employment</t>
  </si>
  <si>
    <t>Total female</t>
  </si>
  <si>
    <t>Total age 18–25</t>
  </si>
  <si>
    <t>Total refugees</t>
  </si>
  <si>
    <t>Endline survey status</t>
  </si>
  <si>
    <t>Data quality / review</t>
  </si>
  <si>
    <t>SM253</t>
  </si>
  <si>
    <t>IC-AC-J-13</t>
  </si>
  <si>
    <t>Green Valley Park</t>
  </si>
  <si>
    <t>Acceleration</t>
  </si>
  <si>
    <t>25 - 45</t>
  </si>
  <si>
    <t>Jordanian</t>
  </si>
  <si>
    <t xml:space="preserve">ICON Beneficiry </t>
  </si>
  <si>
    <t>Registered</t>
  </si>
  <si>
    <t>Matched to Event Participants (registered)</t>
  </si>
  <si>
    <t>True</t>
  </si>
  <si>
    <t>Yes</t>
  </si>
  <si>
    <t>SM256</t>
  </si>
  <si>
    <t>Chef Fan / Food and Beverage Catering</t>
  </si>
  <si>
    <t>Not Registered</t>
  </si>
  <si>
    <t>No confirmed active registration match</t>
  </si>
  <si>
    <t>SM258</t>
  </si>
  <si>
    <t>Ajloun Cheese and Dairy Products</t>
  </si>
  <si>
    <t>46 - 60</t>
  </si>
  <si>
    <t>SM259</t>
  </si>
  <si>
    <t>Fringed Shemagh House</t>
  </si>
  <si>
    <t>SM260</t>
  </si>
  <si>
    <t>Rural Pantry House</t>
  </si>
  <si>
    <t>SM272</t>
  </si>
  <si>
    <t>Reef Al-Yanabee’ Rest Area</t>
  </si>
  <si>
    <t>SM274</t>
  </si>
  <si>
    <t>IC-AC-J-16</t>
  </si>
  <si>
    <t>Ahmed Al-Qudah Carpentry</t>
  </si>
  <si>
    <t>SM275</t>
  </si>
  <si>
    <t>Fares Al-Sabbagh Tailoring</t>
  </si>
  <si>
    <t>SM281</t>
  </si>
  <si>
    <t>Guesthouse</t>
  </si>
  <si>
    <t>SM006</t>
  </si>
  <si>
    <t>IC-AC-A-01</t>
  </si>
  <si>
    <t>Agaba gate for waste recycling</t>
  </si>
  <si>
    <t>SM037</t>
  </si>
  <si>
    <t>IC-AC-A-9</t>
  </si>
  <si>
    <t>Community and stories</t>
  </si>
  <si>
    <t>SM045</t>
  </si>
  <si>
    <t>Galaxy for psychological support</t>
  </si>
  <si>
    <t>SM046</t>
  </si>
  <si>
    <t>Secret Fashion</t>
  </si>
  <si>
    <t>SM123</t>
  </si>
  <si>
    <t>Naseer Foundation for Training, Marketing, and Consulting</t>
  </si>
  <si>
    <t>SM127</t>
  </si>
  <si>
    <t>Extra Traveller</t>
  </si>
  <si>
    <t>SM130</t>
  </si>
  <si>
    <t>Bimakanak</t>
  </si>
  <si>
    <t>SM131</t>
  </si>
  <si>
    <t>Nutrition Specialist Clinic – Safa Al-Dhneibat</t>
  </si>
  <si>
    <t>SM138</t>
  </si>
  <si>
    <t>Stationery / Paper products</t>
  </si>
  <si>
    <t>False</t>
  </si>
  <si>
    <t>Total female exceeds total employment; Total age 18–25 exceeds total employment</t>
  </si>
  <si>
    <t>SM139</t>
  </si>
  <si>
    <t>Ever Stitch</t>
  </si>
  <si>
    <t>Non-Jordanian</t>
  </si>
  <si>
    <t>SM140</t>
  </si>
  <si>
    <t>I offer app</t>
  </si>
  <si>
    <t>SM141</t>
  </si>
  <si>
    <t>jozainah</t>
  </si>
  <si>
    <t>SM166</t>
  </si>
  <si>
    <t>شيري سويت</t>
  </si>
  <si>
    <t>SM493</t>
  </si>
  <si>
    <t>IC-AC-A-23</t>
  </si>
  <si>
    <t>Safety Sequence Plus</t>
  </si>
  <si>
    <t>Total age 18–25 exceeds total employment</t>
  </si>
  <si>
    <t>SM288</t>
  </si>
  <si>
    <t>IC-AC-IR-14</t>
  </si>
  <si>
    <t>Mulsaqat Store for E-Marketing and Consulting</t>
  </si>
  <si>
    <t>SM290</t>
  </si>
  <si>
    <t>Calla Center for Agricultural and Veterinary Services</t>
  </si>
  <si>
    <t>SM291</t>
  </si>
  <si>
    <t>Natural Pomegranate Goodies</t>
  </si>
  <si>
    <t>SM293</t>
  </si>
  <si>
    <t>Rafa Tailoring</t>
  </si>
  <si>
    <t>SM295</t>
  </si>
  <si>
    <t>IC-AC-IR-17</t>
  </si>
  <si>
    <t>Amal Obaidat Workshop</t>
  </si>
  <si>
    <t>SM297</t>
  </si>
  <si>
    <t>iSMI Steel / Metal Furniture Design</t>
  </si>
  <si>
    <t>SM018</t>
  </si>
  <si>
    <t>IC-AC-J-01</t>
  </si>
  <si>
    <t>Adam Dairy Factory (Dairy Production)</t>
  </si>
  <si>
    <t>Dairy Production</t>
  </si>
  <si>
    <t>Economic sector missing</t>
  </si>
  <si>
    <t>SM093</t>
  </si>
  <si>
    <t>IC-AC-J-8</t>
  </si>
  <si>
    <t>Wadi Al-Sham Cottages Resort</t>
  </si>
  <si>
    <t>SM098</t>
  </si>
  <si>
    <t>Beit Reef Jerash</t>
  </si>
  <si>
    <t>SM102</t>
  </si>
  <si>
    <t>Beit Khairat Jerash</t>
  </si>
  <si>
    <t>SM103</t>
  </si>
  <si>
    <t>Rola Abu Deh Embroideries</t>
  </si>
  <si>
    <t>SM104</t>
  </si>
  <si>
    <t>Bisan Aquatic Farm</t>
  </si>
  <si>
    <t>SM107</t>
  </si>
  <si>
    <t>Beit Al-Asala and Al-Iraqi for Folk Heritage</t>
  </si>
  <si>
    <t>SM273</t>
  </si>
  <si>
    <t>Omar Outoom / Fashion Design and Upcycling</t>
  </si>
  <si>
    <t>SM145</t>
  </si>
  <si>
    <t>IC-AC-K-10</t>
  </si>
  <si>
    <t>Nbaliva</t>
  </si>
  <si>
    <t>SM146</t>
  </si>
  <si>
    <t>So Ho</t>
  </si>
  <si>
    <t>IT soluations</t>
  </si>
  <si>
    <t>18 - 24</t>
  </si>
  <si>
    <t>SM151</t>
  </si>
  <si>
    <t>Hi health technology</t>
  </si>
  <si>
    <t>Health technology</t>
  </si>
  <si>
    <t>SM152</t>
  </si>
  <si>
    <t>Tulip for guidance</t>
  </si>
  <si>
    <t>SM153</t>
  </si>
  <si>
    <t>Wissam Kado</t>
  </si>
  <si>
    <t>SM155</t>
  </si>
  <si>
    <t>Workshop/Service Delivery Application</t>
  </si>
  <si>
    <t>SM156</t>
  </si>
  <si>
    <t>Al-Karak Jameed House</t>
  </si>
  <si>
    <t>SM515</t>
  </si>
  <si>
    <t>IC-AC-K-24</t>
  </si>
  <si>
    <t>Smart Farming System</t>
  </si>
  <si>
    <t>SM524</t>
  </si>
  <si>
    <t>Rosaline – Clothing Alteration and Recycling of Old Clothes</t>
  </si>
  <si>
    <t>SM109</t>
  </si>
  <si>
    <t>IC-AC-M-7</t>
  </si>
  <si>
    <t>Jory farm</t>
  </si>
  <si>
    <t>SM111</t>
  </si>
  <si>
    <t>New link</t>
  </si>
  <si>
    <t>SM116</t>
  </si>
  <si>
    <t>Eco Ride / Bicycle rental for tourists in tourist areas</t>
  </si>
  <si>
    <t>SM118</t>
  </si>
  <si>
    <t>Al-Ghuroob Fashion</t>
  </si>
  <si>
    <t>SM119</t>
  </si>
  <si>
    <t>Roubou Rehab Nursery</t>
  </si>
  <si>
    <t>SM120</t>
  </si>
  <si>
    <t>Golden Farm</t>
  </si>
  <si>
    <t>Total female exceeds total employment</t>
  </si>
  <si>
    <t>SM121</t>
  </si>
  <si>
    <t>Al-Khairat for Sustainable Agriculture</t>
  </si>
  <si>
    <t>SM265</t>
  </si>
  <si>
    <t>IC-AC-M-15</t>
  </si>
  <si>
    <t>Desert Bounty for Dried Fruit and Vegetable Production</t>
  </si>
  <si>
    <t>SM267</t>
  </si>
  <si>
    <t>Family Production Kitchen</t>
  </si>
  <si>
    <t>SM270</t>
  </si>
  <si>
    <t>Tala Farm</t>
  </si>
  <si>
    <t>SM271</t>
  </si>
  <si>
    <t>Rawafid for Digital Transformation</t>
  </si>
  <si>
    <t>SM432</t>
  </si>
  <si>
    <t>IC-LN-A-22</t>
  </si>
  <si>
    <t>Zahrat Al-Baylisan for heritage revival</t>
  </si>
  <si>
    <t>Go to Market</t>
  </si>
  <si>
    <t>SM442</t>
  </si>
  <si>
    <t>Aya Al-Momani for Jewelry</t>
  </si>
  <si>
    <t>SM452</t>
  </si>
  <si>
    <t>Al Amouri Paper Industries</t>
  </si>
  <si>
    <t>SM455</t>
  </si>
  <si>
    <t>Aqaba Recreational Complex</t>
  </si>
  <si>
    <t>SM459</t>
  </si>
  <si>
    <t>Nova Music for Training and Consultancy</t>
  </si>
  <si>
    <t>SM472</t>
  </si>
  <si>
    <t>Nichan</t>
  </si>
  <si>
    <t>SM359</t>
  </si>
  <si>
    <t>IC-LN-J-21</t>
  </si>
  <si>
    <t>Photo Batool</t>
  </si>
  <si>
    <t>Total female exceeds total employment; Total age 18–25 exceeds total employment; Total refugee exceeds total employment</t>
  </si>
  <si>
    <t>SM347</t>
  </si>
  <si>
    <t>IC-LN-M-20</t>
  </si>
  <si>
    <t>Hala Chocolate</t>
  </si>
  <si>
    <t>SM373</t>
  </si>
  <si>
    <t>Heritage House</t>
  </si>
  <si>
    <t>SM388</t>
  </si>
  <si>
    <t>Royal Tailoring</t>
  </si>
  <si>
    <t>SM420</t>
  </si>
  <si>
    <t>Umm Karam Kitchen</t>
  </si>
  <si>
    <t>SM421</t>
  </si>
  <si>
    <t>Noor Food Manufacturing Project</t>
  </si>
  <si>
    <t>SM856</t>
  </si>
  <si>
    <t>IC-G+-28</t>
  </si>
  <si>
    <t>Kudzu.ai</t>
  </si>
  <si>
    <t>Grow+</t>
  </si>
  <si>
    <t>Not yet</t>
  </si>
  <si>
    <t>SM857</t>
  </si>
  <si>
    <t>The Stadium Gaming</t>
  </si>
  <si>
    <t>SM859</t>
  </si>
  <si>
    <t>Virtual Data IT</t>
  </si>
  <si>
    <t>SM860</t>
  </si>
  <si>
    <t>Kassel For Information Technology</t>
  </si>
  <si>
    <t>SM861</t>
  </si>
  <si>
    <t>LIME Information Technology</t>
  </si>
  <si>
    <t>Above 60</t>
  </si>
  <si>
    <t>SM862</t>
  </si>
  <si>
    <t>Koshk</t>
  </si>
  <si>
    <t>SM864</t>
  </si>
  <si>
    <t>OLITEC for Agribusiness</t>
  </si>
  <si>
    <t>SM865</t>
  </si>
  <si>
    <t>Kina Jo</t>
  </si>
  <si>
    <t>Employees count missing; Endline survey marked Not yet</t>
  </si>
  <si>
    <t>SM866</t>
  </si>
  <si>
    <t>iCASH</t>
  </si>
  <si>
    <t>SM867</t>
  </si>
  <si>
    <t>Novo Wavo Company</t>
  </si>
  <si>
    <t>SM908</t>
  </si>
  <si>
    <t>Nemah Feed</t>
  </si>
  <si>
    <t>SM910</t>
  </si>
  <si>
    <t>Hypofarm</t>
  </si>
  <si>
    <t>SM851</t>
  </si>
  <si>
    <t>Blue Sky Drones</t>
  </si>
  <si>
    <t>SM853</t>
  </si>
  <si>
    <t>Envision Company</t>
  </si>
  <si>
    <t>SM854</t>
  </si>
  <si>
    <t>Gerasa Handmade Leather</t>
  </si>
  <si>
    <t>Total age 18–25 exceeds total employment; Endline survey marked Not yet</t>
  </si>
  <si>
    <t>SM869</t>
  </si>
  <si>
    <t>TecMedia</t>
  </si>
  <si>
    <t>SM254</t>
  </si>
  <si>
    <t>Jordanian Turmeric</t>
  </si>
  <si>
    <t>SM257</t>
  </si>
  <si>
    <t>Akla &amp; Fatla</t>
  </si>
  <si>
    <t>SM261</t>
  </si>
  <si>
    <t>Karakosh Park and Cabins – Smurfs City</t>
  </si>
  <si>
    <t>SM262</t>
  </si>
  <si>
    <t>Bayt Khairat Ajloun Restaurant</t>
  </si>
  <si>
    <t>SM279</t>
  </si>
  <si>
    <t>Nature House Workshop / Handicrafts and Recycling</t>
  </si>
  <si>
    <t>SM007</t>
  </si>
  <si>
    <t>CertiDive</t>
  </si>
  <si>
    <t>SM050</t>
  </si>
  <si>
    <t>Sajida Al-Huwaitat Designs</t>
  </si>
  <si>
    <t>SM057</t>
  </si>
  <si>
    <t>Aqabawi Art &amp; Culture Studio</t>
  </si>
  <si>
    <t>SM059</t>
  </si>
  <si>
    <t>Inspact</t>
  </si>
  <si>
    <t>SM124</t>
  </si>
  <si>
    <t>Daily Laborers App</t>
  </si>
  <si>
    <t>SM125</t>
  </si>
  <si>
    <t>Farah House</t>
  </si>
  <si>
    <t>SM126</t>
  </si>
  <si>
    <t>Al-Arkan Al-Masiyah for Accounting, Tax Consulting, and Training</t>
  </si>
  <si>
    <t>SM128</t>
  </si>
  <si>
    <t>Choco Shell</t>
  </si>
  <si>
    <t>SM129</t>
  </si>
  <si>
    <t>Bite by the sea</t>
  </si>
  <si>
    <t>SM132</t>
  </si>
  <si>
    <t>Friends</t>
  </si>
  <si>
    <t>SM133</t>
  </si>
  <si>
    <t>Afaq Al-Ghad Company for Information Technology and Systems</t>
  </si>
  <si>
    <t>SM479</t>
  </si>
  <si>
    <t>Starfish Art Studio</t>
  </si>
  <si>
    <t>SM480</t>
  </si>
  <si>
    <t>Blue Team Foundation for Underwater Sea Cleaning</t>
  </si>
  <si>
    <t>SM481</t>
  </si>
  <si>
    <t>2Beans90plus</t>
  </si>
  <si>
    <t>SM482</t>
  </si>
  <si>
    <t>Maher Abdul Haq &amp; Partners Company</t>
  </si>
  <si>
    <t>SM483</t>
  </si>
  <si>
    <t>Suzan Turban</t>
  </si>
  <si>
    <t>SM484</t>
  </si>
  <si>
    <t>Al-Hayat Kitchen for Gluten-Free Products</t>
  </si>
  <si>
    <t>SM485</t>
  </si>
  <si>
    <t>Thaghr Aqaba Academy for Sports Training</t>
  </si>
  <si>
    <t>SM486</t>
  </si>
  <si>
    <t>Website Brokerage Services</t>
  </si>
  <si>
    <t>SM488</t>
  </si>
  <si>
    <t>SpeedGo</t>
  </si>
  <si>
    <t>SM490</t>
  </si>
  <si>
    <t>Fawaz Sport Store</t>
  </si>
  <si>
    <t>SM491</t>
  </si>
  <si>
    <t>Peace Star for Digital Services</t>
  </si>
  <si>
    <t>SM492</t>
  </si>
  <si>
    <t>Zaro</t>
  </si>
  <si>
    <t>SM494</t>
  </si>
  <si>
    <t>Hashtag Uniform</t>
  </si>
  <si>
    <t>SM495</t>
  </si>
  <si>
    <t>Al-Walaa Studio</t>
  </si>
  <si>
    <t>SM496</t>
  </si>
  <si>
    <t>Golden Oil</t>
  </si>
  <si>
    <t>SM497</t>
  </si>
  <si>
    <t>Karam Aliweh Marketing Services Establishment</t>
  </si>
  <si>
    <t>SM500</t>
  </si>
  <si>
    <t>Suhaila Experia – Local Experiences</t>
  </si>
  <si>
    <t>SM501</t>
  </si>
  <si>
    <t>Reehana</t>
  </si>
  <si>
    <t>SM521</t>
  </si>
  <si>
    <t>Al-Andalus Gate</t>
  </si>
  <si>
    <t>SM287</t>
  </si>
  <si>
    <t>Olively Resin</t>
  </si>
  <si>
    <t>SM289</t>
  </si>
  <si>
    <t>Zan Resin</t>
  </si>
  <si>
    <t>SM292</t>
  </si>
  <si>
    <t>The Craftsman: Past and Present – Mix Mo / Mosaic Production</t>
  </si>
  <si>
    <t>SM296</t>
  </si>
  <si>
    <t>Habat Helwa / Event Catering and Dark Chocolate Production</t>
  </si>
  <si>
    <t>SM300</t>
  </si>
  <si>
    <t>Super Car / Car Dry-Cleaning Service</t>
  </si>
  <si>
    <t>SM301</t>
  </si>
  <si>
    <t>Color and Enjoy Foundation for Gypsum Activities</t>
  </si>
  <si>
    <t>SM302</t>
  </si>
  <si>
    <t>Zuhair Station for Drinking Water Supply</t>
  </si>
  <si>
    <t>SM097</t>
  </si>
  <si>
    <t>Beit Al-Sultan</t>
  </si>
  <si>
    <t>SM099</t>
  </si>
  <si>
    <t>Ayoosh Crochet</t>
  </si>
  <si>
    <t>SM100</t>
  </si>
  <si>
    <t>Kaibar Health Water Station</t>
  </si>
  <si>
    <t>SM105</t>
  </si>
  <si>
    <t>Crative fox midia</t>
  </si>
  <si>
    <t>SM277</t>
  </si>
  <si>
    <t>Green Land for Aquaponics</t>
  </si>
  <si>
    <t>SM025</t>
  </si>
  <si>
    <t>IC-AC-K-01</t>
  </si>
  <si>
    <t>Nasjeh apparels industry</t>
  </si>
  <si>
    <t>SM026</t>
  </si>
  <si>
    <t>smart green lanter</t>
  </si>
  <si>
    <t>SM028</t>
  </si>
  <si>
    <t>Badr Al-Tarawneh Recycling Foundation</t>
  </si>
  <si>
    <t>SM136</t>
  </si>
  <si>
    <t>Your Counter for Technology and Smart Solutions</t>
  </si>
  <si>
    <t>SM144</t>
  </si>
  <si>
    <t>wipug</t>
  </si>
  <si>
    <t>SM147</t>
  </si>
  <si>
    <t>GBC</t>
  </si>
  <si>
    <t>SM148</t>
  </si>
  <si>
    <t>Studio Corners</t>
  </si>
  <si>
    <t>SM150</t>
  </si>
  <si>
    <t>Al-Khwarizmi Foundation for Creativity and Investment</t>
  </si>
  <si>
    <t>SM154</t>
  </si>
  <si>
    <t>Vita Glow / An online platform related to skincare</t>
  </si>
  <si>
    <t>SM157</t>
  </si>
  <si>
    <t>Elivio / Manufacturing health and beauty cosmetic products</t>
  </si>
  <si>
    <t>SM161</t>
  </si>
  <si>
    <t>Color Corner for Printing Services</t>
  </si>
  <si>
    <t>SM164</t>
  </si>
  <si>
    <t>Blank Matrix</t>
  </si>
  <si>
    <t>SM165</t>
  </si>
  <si>
    <t>We treat you / health</t>
  </si>
  <si>
    <t>SM167</t>
  </si>
  <si>
    <t>Eazy Robot kit</t>
  </si>
  <si>
    <t>SM168</t>
  </si>
  <si>
    <t>Kids Coder</t>
  </si>
  <si>
    <t>SM169</t>
  </si>
  <si>
    <t>Ebdaa Ogandel Company</t>
  </si>
  <si>
    <t>SM502</t>
  </si>
  <si>
    <t>Pizza House</t>
  </si>
  <si>
    <t>SM503</t>
  </si>
  <si>
    <t>Kids IZO – Teaching Children Through Play</t>
  </si>
  <si>
    <t>SM504</t>
  </si>
  <si>
    <t>Gina – Delivery Application</t>
  </si>
  <si>
    <t>SM505</t>
  </si>
  <si>
    <t>Engineer 180 – Training for Engineers</t>
  </si>
  <si>
    <t>SM506</t>
  </si>
  <si>
    <t>Xora – Automation for Factories and Companies</t>
  </si>
  <si>
    <t>SM507</t>
  </si>
  <si>
    <t>Kompoz – Organic Fertilizer Production</t>
  </si>
  <si>
    <t>SM508</t>
  </si>
  <si>
    <t>Eshqaha Application</t>
  </si>
  <si>
    <t>SM509</t>
  </si>
  <si>
    <t>Eco Root – Agricultural Services and Tools to Transform Empty Spaces into Green Areas</t>
  </si>
  <si>
    <t>SM510</t>
  </si>
  <si>
    <t>Our Jameed, Mana</t>
  </si>
  <si>
    <t>SM511</t>
  </si>
  <si>
    <t>Noor Center for Psychiatry and Addiction Treatment</t>
  </si>
  <si>
    <t>SM512</t>
  </si>
  <si>
    <t>Intellectual Intelligence – Organizing International &amp; Local Conferences and Publishing Scientific Journals</t>
  </si>
  <si>
    <t>SM513</t>
  </si>
  <si>
    <t>Aleena – Cleaning Services</t>
  </si>
  <si>
    <t>SM514</t>
  </si>
  <si>
    <t>Ghaima Establishment for Waste Collection and Transport</t>
  </si>
  <si>
    <t>SM517</t>
  </si>
  <si>
    <t>Silver Jubilee Center – Providing Training Courses and Academic Support for Students</t>
  </si>
  <si>
    <t>SM518</t>
  </si>
  <si>
    <t>Ladies Treatment and Care</t>
  </si>
  <si>
    <t>SM519</t>
  </si>
  <si>
    <t>Ishحنلي (Ishحنلي) – Smart Device Charging Stations</t>
  </si>
  <si>
    <t>SM520</t>
  </si>
  <si>
    <t>Cookies Rose</t>
  </si>
  <si>
    <t>SM522</t>
  </si>
  <si>
    <t>Captain English</t>
  </si>
  <si>
    <t>SM523</t>
  </si>
  <si>
    <t>Sama for Thermal Printing</t>
  </si>
  <si>
    <t>SM611</t>
  </si>
  <si>
    <t>Smart solutions project</t>
  </si>
  <si>
    <t>SM009</t>
  </si>
  <si>
    <t>IC-AC-M-01</t>
  </si>
  <si>
    <t>CvWebs</t>
  </si>
  <si>
    <t>SM108</t>
  </si>
  <si>
    <t>Halal Market / Livestock Trade</t>
  </si>
  <si>
    <t>SM112</t>
  </si>
  <si>
    <t>Dawood Trend Store</t>
  </si>
  <si>
    <t>SM113</t>
  </si>
  <si>
    <t>Taj Bakery</t>
  </si>
  <si>
    <t>SM115</t>
  </si>
  <si>
    <t>Your Photos in Our Lens</t>
  </si>
  <si>
    <t>SM117</t>
  </si>
  <si>
    <t>Rouh wa Reyhan</t>
  </si>
  <si>
    <t>SM263</t>
  </si>
  <si>
    <t>Al-Taqwa Aquaponics</t>
  </si>
  <si>
    <t>SM264</t>
  </si>
  <si>
    <t>Abq Al-Fan for Design and Programming</t>
  </si>
  <si>
    <t>SM269</t>
  </si>
  <si>
    <t>Rose Seedling</t>
  </si>
  <si>
    <t>SM283</t>
  </si>
  <si>
    <t>Pearl of Jordan Water</t>
  </si>
  <si>
    <t>SM195</t>
  </si>
  <si>
    <t>IC-LN-G-25</t>
  </si>
  <si>
    <t>Vamo</t>
  </si>
  <si>
    <t>SM355</t>
  </si>
  <si>
    <t>Alin Healthy Products Kitchen</t>
  </si>
  <si>
    <t>SM466</t>
  </si>
  <si>
    <t>The Professional Breeder</t>
  </si>
  <si>
    <t>Employees count missing</t>
  </si>
  <si>
    <t>SM467</t>
  </si>
  <si>
    <t>Organic G</t>
  </si>
  <si>
    <t>SM588</t>
  </si>
  <si>
    <t>Vaterina</t>
  </si>
  <si>
    <t>SM868</t>
  </si>
  <si>
    <t>IC-LN-G-29</t>
  </si>
  <si>
    <t>ZadGo</t>
  </si>
  <si>
    <t>SM906</t>
  </si>
  <si>
    <t>Jet App</t>
  </si>
  <si>
    <t>SM055</t>
  </si>
  <si>
    <t>Smart Cart</t>
  </si>
  <si>
    <t>SM424</t>
  </si>
  <si>
    <t>Green pillows</t>
  </si>
  <si>
    <t>SM425</t>
  </si>
  <si>
    <t>Ramp Aqaba for advertising and marketing</t>
  </si>
  <si>
    <t>SM427</t>
  </si>
  <si>
    <t>Yr gool</t>
  </si>
  <si>
    <t>SM428</t>
  </si>
  <si>
    <t>Mariana for crochet bags</t>
  </si>
  <si>
    <t>SM429</t>
  </si>
  <si>
    <t>Deem product</t>
  </si>
  <si>
    <t>SM430</t>
  </si>
  <si>
    <t>Tasneem Art Paintings</t>
  </si>
  <si>
    <t>SM431</t>
  </si>
  <si>
    <t>Tailoring and upcycling of clothing</t>
  </si>
  <si>
    <t>SM433</t>
  </si>
  <si>
    <t>Home bro</t>
  </si>
  <si>
    <t>SM436</t>
  </si>
  <si>
    <t>2beens90+</t>
  </si>
  <si>
    <t>SM437</t>
  </si>
  <si>
    <t>A pearl</t>
  </si>
  <si>
    <t>SM438</t>
  </si>
  <si>
    <t>Auto Mechica Jordan</t>
  </si>
  <si>
    <t>SM443</t>
  </si>
  <si>
    <t>A Teek Store</t>
  </si>
  <si>
    <t>SM445</t>
  </si>
  <si>
    <t>Bk Sweets</t>
  </si>
  <si>
    <t>SM446</t>
  </si>
  <si>
    <t>Amad Rum</t>
  </si>
  <si>
    <t>SM447</t>
  </si>
  <si>
    <t>Maknoon</t>
  </si>
  <si>
    <t>SM448</t>
  </si>
  <si>
    <t>Calma Cafe</t>
  </si>
  <si>
    <t>SM449</t>
  </si>
  <si>
    <t>Birds of Paradise</t>
  </si>
  <si>
    <t>SM450</t>
  </si>
  <si>
    <t>Larose</t>
  </si>
  <si>
    <t>SM453</t>
  </si>
  <si>
    <t>United Jordan Marine</t>
  </si>
  <si>
    <t>SM454</t>
  </si>
  <si>
    <t>Peace Land</t>
  </si>
  <si>
    <t>canceled</t>
  </si>
  <si>
    <t>Matched attendee status: canceled</t>
  </si>
  <si>
    <t>SM456</t>
  </si>
  <si>
    <t>Abar hsma cobany</t>
  </si>
  <si>
    <t>SM457</t>
  </si>
  <si>
    <t>Glow</t>
  </si>
  <si>
    <t>SM458</t>
  </si>
  <si>
    <t>Rajaa cack and more</t>
  </si>
  <si>
    <t>SM462</t>
  </si>
  <si>
    <t>Handcraft</t>
  </si>
  <si>
    <t>SM463</t>
  </si>
  <si>
    <t>Kindergarten</t>
  </si>
  <si>
    <t>SM464</t>
  </si>
  <si>
    <t>English Learning</t>
  </si>
  <si>
    <t>SM468</t>
  </si>
  <si>
    <t>Diving center</t>
  </si>
  <si>
    <t>SM469</t>
  </si>
  <si>
    <t>Wold of bookmark</t>
  </si>
  <si>
    <t>SM470</t>
  </si>
  <si>
    <t>Nomad. Camp wadi rum</t>
  </si>
  <si>
    <t>SM356</t>
  </si>
  <si>
    <t>Touch of Love</t>
  </si>
  <si>
    <t>SM357</t>
  </si>
  <si>
    <t>Sanaa Al Nithami Kitchen</t>
  </si>
  <si>
    <t>SM358</t>
  </si>
  <si>
    <t>Hamoudeh Spices and Seasonings</t>
  </si>
  <si>
    <t>SM361</t>
  </si>
  <si>
    <t>Basma Khadra</t>
  </si>
  <si>
    <t>SM362</t>
  </si>
  <si>
    <t>Travelers Tourism and Travel</t>
  </si>
  <si>
    <t>SM364</t>
  </si>
  <si>
    <t>Basket of life</t>
  </si>
  <si>
    <t>SM365</t>
  </si>
  <si>
    <t>Alsham for sweet</t>
  </si>
  <si>
    <t>SM366</t>
  </si>
  <si>
    <t>We Learn</t>
  </si>
  <si>
    <t>Total age 18–25 exceeds total employment; Total refugee exceeds total employment</t>
  </si>
  <si>
    <t>SM367</t>
  </si>
  <si>
    <t>Al Rabwa Dairy</t>
  </si>
  <si>
    <t>SM368</t>
  </si>
  <si>
    <t>Alloush Nursery</t>
  </si>
  <si>
    <t>SM371</t>
  </si>
  <si>
    <t>Souvenir</t>
  </si>
  <si>
    <t>SM393</t>
  </si>
  <si>
    <t>Sport power</t>
  </si>
  <si>
    <t>SM394</t>
  </si>
  <si>
    <t>Majd Kitchen</t>
  </si>
  <si>
    <t>SM395</t>
  </si>
  <si>
    <t>Cheese and Dairy</t>
  </si>
  <si>
    <t>SM398</t>
  </si>
  <si>
    <t>Jordan Activity</t>
  </si>
  <si>
    <t>SM399</t>
  </si>
  <si>
    <t>Abd Salon</t>
  </si>
  <si>
    <t>cosmetics</t>
  </si>
  <si>
    <t>SM402</t>
  </si>
  <si>
    <t>R promark</t>
  </si>
  <si>
    <t>SM403</t>
  </si>
  <si>
    <t>Mushroom Farming</t>
  </si>
  <si>
    <t>SM404</t>
  </si>
  <si>
    <t>Rahaf Al Reef</t>
  </si>
  <si>
    <t>SM409</t>
  </si>
  <si>
    <t>Gamz</t>
  </si>
  <si>
    <t>SM410</t>
  </si>
  <si>
    <t>Sewing and embroidery</t>
  </si>
  <si>
    <t>SM411</t>
  </si>
  <si>
    <t>Orkida</t>
  </si>
  <si>
    <t>SM434</t>
  </si>
  <si>
    <t>Khayrat Al-Shoubak</t>
  </si>
  <si>
    <t>SM474</t>
  </si>
  <si>
    <t>Mars Land Camp</t>
  </si>
  <si>
    <t>SM592</t>
  </si>
  <si>
    <t>Devon Chocolate Factory Company</t>
  </si>
  <si>
    <t>SM325</t>
  </si>
  <si>
    <t>Um Zaid Sweets</t>
  </si>
  <si>
    <t>SM327</t>
  </si>
  <si>
    <t>Basil Flower</t>
  </si>
  <si>
    <t>SM332</t>
  </si>
  <si>
    <t>Um Bashar Kitchen</t>
  </si>
  <si>
    <t>SM335</t>
  </si>
  <si>
    <t>Desert Goodness for Vegetable Drying</t>
  </si>
  <si>
    <t>SM341</t>
  </si>
  <si>
    <t>Umm Ghazi Kitchen – Season Harvest</t>
  </si>
  <si>
    <t>SM342</t>
  </si>
  <si>
    <t>Rasha Saffron (A Dash of Saffron)</t>
  </si>
  <si>
    <t>SM345</t>
  </si>
  <si>
    <t>Belamsa (brand name)</t>
  </si>
  <si>
    <t>SM349</t>
  </si>
  <si>
    <t>Cultivation of sage (maramia)</t>
  </si>
  <si>
    <t>SM353</t>
  </si>
  <si>
    <t>Shahd for Bees (Honey / Beekeeping)</t>
  </si>
  <si>
    <t>SM375</t>
  </si>
  <si>
    <t>Lotus Flower Surroundings</t>
  </si>
  <si>
    <t>SM376</t>
  </si>
  <si>
    <t>Al-Khairat Agricultural House</t>
  </si>
  <si>
    <t>SM378</t>
  </si>
  <si>
    <t>Bint Al-Balad Dairy Products (Cheese and Milk)</t>
  </si>
  <si>
    <t>Total female exceeds total employment; Total refugee exceeds total employment</t>
  </si>
  <si>
    <t>SM380</t>
  </si>
  <si>
    <t>Baby Cucumber</t>
  </si>
  <si>
    <t>SM390</t>
  </si>
  <si>
    <t>Embroidery Art</t>
  </si>
  <si>
    <t>SM391</t>
  </si>
  <si>
    <t>Dairy and Cheese</t>
  </si>
  <si>
    <t>SM589</t>
  </si>
  <si>
    <t>Al Atiq Crochet and Knitting Garment Manufacturing</t>
  </si>
  <si>
    <t>SM593</t>
  </si>
  <si>
    <t>Rahaf for Cartoon Characters for Events</t>
  </si>
  <si>
    <t>SM855</t>
  </si>
  <si>
    <t>EV Solution</t>
  </si>
  <si>
    <t>SM858</t>
  </si>
  <si>
    <t>Masar ( Al washaq ar arabi for marketing services )</t>
  </si>
  <si>
    <t>SM907</t>
  </si>
  <si>
    <t>Incredible Oat</t>
  </si>
  <si>
    <t>SM054</t>
  </si>
  <si>
    <t>Blue team</t>
  </si>
  <si>
    <t>SM870</t>
  </si>
  <si>
    <t>Golden sword factory for paper and cardboard industries</t>
  </si>
  <si>
    <t>SM911</t>
  </si>
  <si>
    <t>Al-Huloul Factory</t>
  </si>
  <si>
    <t>SM863</t>
  </si>
  <si>
    <t>Trusty Hands</t>
  </si>
  <si>
    <t>SM852</t>
  </si>
  <si>
    <t>Beirut Fuel</t>
  </si>
  <si>
    <t>SM255</t>
  </si>
  <si>
    <t>Al-Shami Carpentry</t>
  </si>
  <si>
    <t>NA</t>
  </si>
  <si>
    <t>SM276</t>
  </si>
  <si>
    <t>Um Hamza Guesthouse</t>
  </si>
  <si>
    <t>SM913</t>
  </si>
  <si>
    <t>alrewaq contracting company</t>
  </si>
  <si>
    <t>SM444</t>
  </si>
  <si>
    <t>Petroleum Facilities Tank Maintenance</t>
  </si>
  <si>
    <t>SM294</t>
  </si>
  <si>
    <t>Stickers Land / Printing on Clothes and More</t>
  </si>
  <si>
    <t>SM122</t>
  </si>
  <si>
    <t>Nuhi Studio</t>
  </si>
  <si>
    <t>SM280</t>
  </si>
  <si>
    <t>Agricultural Expertise for Aromatic Plants and Their Processing</t>
  </si>
  <si>
    <t>SM360</t>
  </si>
  <si>
    <t>Green Spike</t>
  </si>
  <si>
    <t>SM369</t>
  </si>
  <si>
    <t>Magic Feast</t>
  </si>
  <si>
    <t>SM372</t>
  </si>
  <si>
    <t>Jerash Dairy</t>
  </si>
  <si>
    <t>SM412</t>
  </si>
  <si>
    <t>Um Ahmed Spices</t>
  </si>
  <si>
    <t>SM415</t>
  </si>
  <si>
    <t>Photography</t>
  </si>
  <si>
    <t>SM285</t>
  </si>
  <si>
    <t>Needle and Thread</t>
  </si>
  <si>
    <t>SM329</t>
  </si>
  <si>
    <t>Al Fadl Kitchen</t>
  </si>
  <si>
    <t>SM383</t>
  </si>
  <si>
    <t>Aloe Vera</t>
  </si>
  <si>
    <t>Event Participants unique</t>
  </si>
  <si>
    <t>شذى organic</t>
  </si>
  <si>
    <t>36 - 45</t>
  </si>
  <si>
    <t>NOT ICON Beneficiry</t>
  </si>
  <si>
    <t>Event registered</t>
  </si>
  <si>
    <t>Ideal Steps For Project Management Services</t>
  </si>
  <si>
    <t>30 - 35</t>
  </si>
  <si>
    <t>NAHIR AL ATTAA PERFUMES AND COSMETICS TRDING COMPANY</t>
  </si>
  <si>
    <t>Sard</t>
  </si>
  <si>
    <t>25 - 30</t>
  </si>
  <si>
    <t>مطرزات تراثيه وتقليديه حديثة</t>
  </si>
  <si>
    <t>Al-Karak</t>
  </si>
  <si>
    <t>مؤسسة حسن عوده للحجر والرخام والفنون المعمارية الخضراء</t>
  </si>
  <si>
    <t>VaccineJo</t>
  </si>
  <si>
    <t>EraData</t>
  </si>
  <si>
    <t>Eco art</t>
  </si>
  <si>
    <t>Kafana-GGEZ</t>
  </si>
  <si>
    <t>Designless</t>
  </si>
  <si>
    <t>code circle</t>
  </si>
  <si>
    <t>vella</t>
  </si>
  <si>
    <t>Mourothna Shop</t>
  </si>
  <si>
    <t>Ma'an</t>
  </si>
  <si>
    <t>حلويات خيرات الجنوب</t>
  </si>
  <si>
    <t>Al-Tafileh</t>
  </si>
  <si>
    <t>ElegoSys</t>
  </si>
  <si>
    <t>Project Management Consultant and Training Facilitator</t>
  </si>
  <si>
    <t>Impact MENA</t>
  </si>
  <si>
    <t>SetaX</t>
  </si>
  <si>
    <t>بيت الخير</t>
  </si>
  <si>
    <t>Artlamora</t>
  </si>
  <si>
    <t>seruva</t>
  </si>
  <si>
    <t>OPBT Technologies</t>
  </si>
  <si>
    <t>Dr Wejdan Hasanat Beauty Clinic</t>
  </si>
  <si>
    <t>APSOL Digital Platform for teaching Arabic for Speakers of Other languages &amp; training instructors</t>
  </si>
  <si>
    <t>SYNIRO</t>
  </si>
  <si>
    <t>AquaGuard AI</t>
  </si>
  <si>
    <t>SIQ</t>
  </si>
  <si>
    <t>شركة الأصيل التقني للبرمجة الحاسوبية   ذ.م.م</t>
  </si>
  <si>
    <t>مطبخ سله الاحلام</t>
  </si>
  <si>
    <t>معمل البان الخشيبه</t>
  </si>
  <si>
    <t>Jerash</t>
  </si>
  <si>
    <t>صفاء للصيانة المنزلية والتدريب</t>
  </si>
  <si>
    <t>HISI</t>
  </si>
  <si>
    <t>Fawaz Mousa Al-Khlifat and partner co.</t>
  </si>
  <si>
    <t>ScoutMena,Ltd.</t>
  </si>
  <si>
    <t>Petra turmeric</t>
  </si>
  <si>
    <t>سهام احمد لصناعة الجميد مهنه منزليه</t>
  </si>
  <si>
    <t>Reiwa for Water Technologies</t>
  </si>
  <si>
    <t>سحر الطبيعة</t>
  </si>
  <si>
    <t>العنايه بالمنتجات الطبيعيه صالون المحبه</t>
  </si>
  <si>
    <t>AquaGuard</t>
  </si>
  <si>
    <t>Al-Balqa'a</t>
  </si>
  <si>
    <t>مخبوزات معجنات</t>
  </si>
  <si>
    <t>Shay rahaf</t>
  </si>
  <si>
    <t>مطبخ انتاجي عدن المجالي الصحي الزراعي</t>
  </si>
  <si>
    <t>rawnaq</t>
  </si>
  <si>
    <t>Dana horizon hotel</t>
  </si>
  <si>
    <t>مؤسسه نسمه حجاج للخدمات الزراعيه</t>
  </si>
  <si>
    <t>Qatra</t>
  </si>
  <si>
    <t>تامر الحوامدة لصناعة الإعلان</t>
  </si>
  <si>
    <t>Nowaty iCode</t>
  </si>
  <si>
    <t>South Fashion</t>
  </si>
  <si>
    <t>مزرعة الورقيات الذكية</t>
  </si>
  <si>
    <t>Hygiene mirror</t>
  </si>
  <si>
    <t>Avicenna</t>
  </si>
  <si>
    <t>شركة إحياء بلا حدود</t>
  </si>
  <si>
    <t>البان واجبان الشوق</t>
  </si>
  <si>
    <t>Hekayatna</t>
  </si>
  <si>
    <t>شركة ابتهال السرحان الزراعية</t>
  </si>
  <si>
    <t>السهول الخضراء</t>
  </si>
  <si>
    <t>Aqaba artifacts</t>
  </si>
  <si>
    <t>الأرض الخضراء</t>
  </si>
  <si>
    <t>الرونق</t>
  </si>
  <si>
    <t>BioMEMS AI</t>
  </si>
  <si>
    <t>روضة الطفل الموهوب</t>
  </si>
  <si>
    <t>oia</t>
  </si>
  <si>
    <t>Rasha Obaidat Sewing Workshop</t>
  </si>
  <si>
    <t>Balcony EcoTower – Hydroponic Intelligent Systems of Irrigation</t>
  </si>
  <si>
    <t>Khairat Alshobak</t>
  </si>
  <si>
    <t>Khudra Connect</t>
  </si>
  <si>
    <t>LaserLink</t>
  </si>
  <si>
    <t>Ajloun</t>
  </si>
  <si>
    <t>Sustainable Alternatives paper factory</t>
  </si>
  <si>
    <t>IMDAA ECOSYSTEM  |إمضاء</t>
  </si>
  <si>
    <t>Olistic</t>
  </si>
  <si>
    <t>w-cope</t>
  </si>
  <si>
    <t>Healthy Farm By Shaymaa</t>
  </si>
  <si>
    <t>Bute</t>
  </si>
  <si>
    <t>Crafts house</t>
  </si>
  <si>
    <t>pearls cosmetics</t>
  </si>
  <si>
    <t>Asma Arts</t>
  </si>
  <si>
    <t>SignTour</t>
  </si>
  <si>
    <t>منى البدور لصناعة الحلويات واعداد الولأئم</t>
  </si>
  <si>
    <t>Alsoltana crochet</t>
  </si>
  <si>
    <t>Flamingo Store</t>
  </si>
  <si>
    <t>حضانة أطفال الهدى</t>
  </si>
  <si>
    <t>iPARK - Royal Scientific Society</t>
  </si>
  <si>
    <t>Partners for Good</t>
  </si>
  <si>
    <t>GREEN HANDS FOR LANDSCAPING &amp; TRAINING</t>
  </si>
  <si>
    <t>Jordan River Foundation</t>
  </si>
  <si>
    <t>Tafila Technical University</t>
  </si>
  <si>
    <t>Dana first view Hotel</t>
  </si>
  <si>
    <t>Imdaa ecosystem |إمضاء</t>
  </si>
  <si>
    <t>Rawan's sewing</t>
  </si>
  <si>
    <t>Mushroom land</t>
  </si>
  <si>
    <t>scientific Research and Innovation Fund</t>
  </si>
  <si>
    <t>Robotics lab -Innovative generation</t>
  </si>
  <si>
    <t>مؤسسة بيت الاوليفيرا للصابون الطبيعي ومستحضرات التجميل</t>
  </si>
  <si>
    <t>Batoolcrafts</t>
  </si>
  <si>
    <t>اشكال والوان للطباعة ثلاثية الأبعاد</t>
  </si>
  <si>
    <t>Tarmeem for  Organic bio fertiliser</t>
  </si>
  <si>
    <t>Nawara Studio</t>
  </si>
  <si>
    <t>Alefredo EdTech</t>
  </si>
  <si>
    <t>Dinan Spreads</t>
  </si>
  <si>
    <t>Afaq Alriadah For Development and Training</t>
  </si>
  <si>
    <t>جيرس - ریحان JERES</t>
  </si>
  <si>
    <t>خيوط بلادي</t>
  </si>
  <si>
    <t>Hand made spot</t>
  </si>
  <si>
    <t>زوايا فنية</t>
  </si>
  <si>
    <t>GIZ Jordan</t>
  </si>
  <si>
    <t>ICON-INSTITUTE GmbH &amp; Co. KG</t>
  </si>
  <si>
    <t>ICON-INSTITUTE</t>
  </si>
  <si>
    <t>Count of E4ED Startups</t>
  </si>
  <si>
    <t>Event Participants</t>
  </si>
  <si>
    <t xml:space="preserve">Total </t>
  </si>
  <si>
    <t>Canceled</t>
  </si>
  <si>
    <t>Unique Total No</t>
  </si>
  <si>
    <t>ICON participant</t>
  </si>
  <si>
    <t>Not ICON participant</t>
  </si>
  <si>
    <t>GIZ</t>
  </si>
  <si>
    <t>ICON</t>
  </si>
  <si>
    <t>ICON Participants</t>
  </si>
  <si>
    <t>Count of Event registration status</t>
  </si>
  <si>
    <t>Invites to Horizon and Closing Event</t>
  </si>
  <si>
    <t>Identifier</t>
  </si>
  <si>
    <t>Name</t>
  </si>
  <si>
    <t>Name of the business</t>
  </si>
  <si>
    <t>Status</t>
  </si>
  <si>
    <t>Contact information 1</t>
  </si>
  <si>
    <t>Contact information 2</t>
  </si>
  <si>
    <t>Contact information 3</t>
  </si>
  <si>
    <t>Invite Sent</t>
  </si>
  <si>
    <t>email resend</t>
  </si>
  <si>
    <t>SM001</t>
  </si>
  <si>
    <t>Jordan Start Acceleration Cohort 1 North</t>
  </si>
  <si>
    <t>Saqer Maryha</t>
  </si>
  <si>
    <t>Smart Green For Phyto-based solution</t>
  </si>
  <si>
    <t>To be invited</t>
  </si>
  <si>
    <t>0795052273</t>
  </si>
  <si>
    <t>0799783146</t>
  </si>
  <si>
    <t>saqer.maryha@gmail.com</t>
  </si>
  <si>
    <t>SM002</t>
  </si>
  <si>
    <t>Aia Abul-Haj</t>
  </si>
  <si>
    <t>Solvillion</t>
  </si>
  <si>
    <t>0796002739</t>
  </si>
  <si>
    <t>0788168987</t>
  </si>
  <si>
    <t>aia@solvillion.com</t>
  </si>
  <si>
    <t>SM003</t>
  </si>
  <si>
    <t>Shaker Al Zayadneh</t>
  </si>
  <si>
    <t>Retail Perfume and Cosmetics</t>
  </si>
  <si>
    <t>Not invited</t>
  </si>
  <si>
    <t>0792404044</t>
  </si>
  <si>
    <t>0792434344</t>
  </si>
  <si>
    <t>shaker.alzayadneh@rental-jo.com</t>
  </si>
  <si>
    <t>SM004</t>
  </si>
  <si>
    <t>Salma Amayri</t>
  </si>
  <si>
    <t>SmartGreen for Agritech Solutions</t>
  </si>
  <si>
    <t>0787046964</t>
  </si>
  <si>
    <t>info@sg-agritech.com</t>
  </si>
  <si>
    <t>SM012</t>
  </si>
  <si>
    <t>Jordan Start Acceleration Cohort 2 North / PASS</t>
  </si>
  <si>
    <t>Rania Mustafa Abdallah Abo Dawwas</t>
  </si>
  <si>
    <t>Green hands for landscaping &amp; training</t>
  </si>
  <si>
    <t>0795734590</t>
  </si>
  <si>
    <t>raniak872@yahoo.com</t>
  </si>
  <si>
    <t>SM013</t>
  </si>
  <si>
    <t>Jordan Start Acceleration Cohort 2 North</t>
  </si>
  <si>
    <t>Mohammad Sameh Ahmad Mohammad</t>
  </si>
  <si>
    <t>0787325128</t>
  </si>
  <si>
    <t>m7mad211@gmail.com</t>
  </si>
  <si>
    <t>SM014</t>
  </si>
  <si>
    <t>Mohammad Sharif Amawi</t>
  </si>
  <si>
    <t>Lumière Services</t>
  </si>
  <si>
    <t>0962775946759</t>
  </si>
  <si>
    <t>00962780221890</t>
  </si>
  <si>
    <t>mohammadamawi998@gmail.com</t>
  </si>
  <si>
    <t>SM015</t>
  </si>
  <si>
    <t>Haitham Ayman Hassan Hazaimeh</t>
  </si>
  <si>
    <t>Story of Ajloun</t>
  </si>
  <si>
    <t>`0779907498</t>
  </si>
  <si>
    <t>haithamalhazaymeh@gmail.com</t>
  </si>
  <si>
    <t>SM016</t>
  </si>
  <si>
    <t>Rawan ibrahim khaled Mistareehi</t>
  </si>
  <si>
    <t>Studio Raa</t>
  </si>
  <si>
    <t>0780796232</t>
  </si>
  <si>
    <t>0799539148</t>
  </si>
  <si>
    <t>rawan@studio-raa.com</t>
  </si>
  <si>
    <t>SM017</t>
  </si>
  <si>
    <t>Ahmad Ouwer</t>
  </si>
  <si>
    <t>Scrap</t>
  </si>
  <si>
    <t>0799272483</t>
  </si>
  <si>
    <t>0797914976</t>
  </si>
  <si>
    <t>ahmedowier1998@gmail.com</t>
  </si>
  <si>
    <t>SM019</t>
  </si>
  <si>
    <t>Noor Abd ar-Rudain</t>
  </si>
  <si>
    <t>Plant patch</t>
  </si>
  <si>
    <t>0799783641</t>
  </si>
  <si>
    <t>0791749266</t>
  </si>
  <si>
    <t>Nouralrodini@gmail.com</t>
  </si>
  <si>
    <t>SM020</t>
  </si>
  <si>
    <t>Safaa' Sukkareyyeh</t>
  </si>
  <si>
    <t>Safaa for Home Maintenance and Training</t>
  </si>
  <si>
    <t>0799300708</t>
  </si>
  <si>
    <t>0788430969</t>
  </si>
  <si>
    <t>safaasukkariah@gmail.com</t>
  </si>
  <si>
    <t>SM021</t>
  </si>
  <si>
    <t>Suzan Alomari</t>
  </si>
  <si>
    <t>glowy by marmalade</t>
  </si>
  <si>
    <t>0776751079</t>
  </si>
  <si>
    <t>0790361072</t>
  </si>
  <si>
    <t>suzanomari2014@gmail.com</t>
  </si>
  <si>
    <t>SM022</t>
  </si>
  <si>
    <t>Safiah Salem Abu Shanin</t>
  </si>
  <si>
    <t>Hands of Sitti</t>
  </si>
  <si>
    <t>00962793367444</t>
  </si>
  <si>
    <t>00962785167283</t>
  </si>
  <si>
    <t>safiah@sittisoap.com</t>
  </si>
  <si>
    <t>SM023</t>
  </si>
  <si>
    <t>Alaaeddin bebars</t>
  </si>
  <si>
    <t>Enbat Engineering Solutions</t>
  </si>
  <si>
    <t>00962797322798</t>
  </si>
  <si>
    <t>alaabebars92@gmail.com</t>
  </si>
  <si>
    <t>SM024</t>
  </si>
  <si>
    <t>Mahmood Omar Mahmood Haddad</t>
  </si>
  <si>
    <t>white skin for cosmetic materials</t>
  </si>
  <si>
    <t>00962790719667</t>
  </si>
  <si>
    <t>mahmood_haddad@yahoo.com</t>
  </si>
  <si>
    <t>SM029</t>
  </si>
  <si>
    <t>Iman Saqr Ahmad Abu Rabiah</t>
  </si>
  <si>
    <t>Al-Oliviera Foundation for Natural Soap</t>
  </si>
  <si>
    <t>0785871632</t>
  </si>
  <si>
    <t>0786313756</t>
  </si>
  <si>
    <t>ameereee2017@gmail.com</t>
  </si>
  <si>
    <t>SM030</t>
  </si>
  <si>
    <t>Jawaher ahmad alhassan</t>
  </si>
  <si>
    <t>Sama</t>
  </si>
  <si>
    <t>0776819182</t>
  </si>
  <si>
    <t>0782950085</t>
  </si>
  <si>
    <t>Jawaher.ahmed@yahoo.com</t>
  </si>
  <si>
    <t>SM031</t>
  </si>
  <si>
    <t>Maryam Yusuf Al-Adlouni</t>
  </si>
  <si>
    <t>mar.</t>
  </si>
  <si>
    <t>0797673298</t>
  </si>
  <si>
    <t>0798589873</t>
  </si>
  <si>
    <t>aladlounimariam@gmail.com</t>
  </si>
  <si>
    <t>IC-AC-A-9 / PASS</t>
  </si>
  <si>
    <t>Baha'a Tayeh</t>
  </si>
  <si>
    <t>Hakaia</t>
  </si>
  <si>
    <t>0970746351</t>
  </si>
  <si>
    <t>bahatayeh@gmail.com</t>
  </si>
  <si>
    <t>SM038</t>
  </si>
  <si>
    <t>Jordan Start Acceleration Cohort 3 North</t>
  </si>
  <si>
    <t>Ahmad Qasim Mohammmad Saifan</t>
  </si>
  <si>
    <t>Ahmad Saifan for Agriculture</t>
  </si>
  <si>
    <t>0790317664</t>
  </si>
  <si>
    <t>0798280380</t>
  </si>
  <si>
    <t>ahmadsaifan37@gmail.com</t>
  </si>
  <si>
    <t>SM040</t>
  </si>
  <si>
    <t>Business Clinic South</t>
  </si>
  <si>
    <t>Hossam Mohammed Abd Abu Jwaid</t>
  </si>
  <si>
    <t>Yarada for Advertising Services</t>
  </si>
  <si>
    <t>00782574037</t>
  </si>
  <si>
    <t>hosammohndmohnd@gmail.com</t>
  </si>
  <si>
    <t>SM041</t>
  </si>
  <si>
    <t>Ahmad Nabil Awad Al Ghobari</t>
  </si>
  <si>
    <t>Aqaba Tourist Guide</t>
  </si>
  <si>
    <t>+962 7 7719 2946</t>
  </si>
  <si>
    <t>ahmednasa4@gmail.com</t>
  </si>
  <si>
    <t>Sara Mahmoud A.K Kamel Ghazal</t>
  </si>
  <si>
    <t>Majjarra</t>
  </si>
  <si>
    <t>0787743654</t>
  </si>
  <si>
    <t>0787733077</t>
  </si>
  <si>
    <t>sara.gazal@yahoo.com</t>
  </si>
  <si>
    <t>SM048</t>
  </si>
  <si>
    <t>Hammam Al-Mubayyad</t>
  </si>
  <si>
    <t>Drup</t>
  </si>
  <si>
    <t>0777349888</t>
  </si>
  <si>
    <t>almbayed2001@gmail.com</t>
  </si>
  <si>
    <t>Business Clinic South / IC-AC-A-23</t>
  </si>
  <si>
    <t>Sajida Almarayeh</t>
  </si>
  <si>
    <t>Sajeda alhwatit</t>
  </si>
  <si>
    <t>0795811085</t>
  </si>
  <si>
    <t>0788607342</t>
  </si>
  <si>
    <t>Sajedaalmarayeh@gmail.com</t>
  </si>
  <si>
    <t>SM052</t>
  </si>
  <si>
    <t>Investment Readiness South</t>
  </si>
  <si>
    <t>Hamza Yassin</t>
  </si>
  <si>
    <t>app201 للتطبيقات والبرمجة</t>
  </si>
  <si>
    <t>+962 7 9968 2773</t>
  </si>
  <si>
    <t>hamzayaseen87@yahoo.com</t>
  </si>
  <si>
    <t>SM053</t>
  </si>
  <si>
    <t>Sohaib Saqr Ibrahim Al-Qudah</t>
  </si>
  <si>
    <t>NimbusSync</t>
  </si>
  <si>
    <t>0779749147</t>
  </si>
  <si>
    <t>suhaibsaqer555@gmail.com</t>
  </si>
  <si>
    <t>Investment Readiness South / IC-G+-28</t>
  </si>
  <si>
    <t>Alaa Al-Hassasin</t>
  </si>
  <si>
    <t>0796454003</t>
  </si>
  <si>
    <t>0798602779</t>
  </si>
  <si>
    <t>Alaaalhasasen@yahoo.com</t>
  </si>
  <si>
    <t>Investment Readiness South / IC-LN-A-22</t>
  </si>
  <si>
    <t>Mohammad Abu Shanab</t>
  </si>
  <si>
    <t>Abdallah Abu Shanab and Partner</t>
  </si>
  <si>
    <t>0798226618</t>
  </si>
  <si>
    <t>abuzain38@yahoo.com</t>
  </si>
  <si>
    <t>SM058</t>
  </si>
  <si>
    <t>Lana Amjad Mohammad alaboud</t>
  </si>
  <si>
    <t>All about aqaba</t>
  </si>
  <si>
    <t>0790922233</t>
  </si>
  <si>
    <t>0790846327</t>
  </si>
  <si>
    <t>Lanaalmanaseerr@gmail.com</t>
  </si>
  <si>
    <t>SM060</t>
  </si>
  <si>
    <t>Ghaith Al Momani</t>
  </si>
  <si>
    <t>Aqaba By Locals</t>
  </si>
  <si>
    <t>0795802088</t>
  </si>
  <si>
    <t>Ghaith@aqababylocals.com</t>
  </si>
  <si>
    <t>SM063</t>
  </si>
  <si>
    <t>Yazan Ahmad al Khalaifeh</t>
  </si>
  <si>
    <t>Sea Wave</t>
  </si>
  <si>
    <t>0795410451</t>
  </si>
  <si>
    <t>yazanahmad597@gmail.com</t>
  </si>
  <si>
    <t>SM064</t>
  </si>
  <si>
    <t>Almoaied Bellah Khaled Morsi</t>
  </si>
  <si>
    <t>Aqaba Hunters Team</t>
  </si>
  <si>
    <t>0798888247</t>
  </si>
  <si>
    <t>0795531355</t>
  </si>
  <si>
    <t>moaiedkhaled0@gmail.com</t>
  </si>
  <si>
    <t>SM065</t>
  </si>
  <si>
    <t>Rasheed Al-Khlifat</t>
  </si>
  <si>
    <t>Omsiat Shahrazad luxury camp</t>
  </si>
  <si>
    <t>776303210</t>
  </si>
  <si>
    <t>Booking@shahrazadluxury.com</t>
  </si>
  <si>
    <t>Abd Alraheem Alhersh</t>
  </si>
  <si>
    <t>Aqaba Gate for Waste Recycling</t>
  </si>
  <si>
    <t>abd.hersh@gmail.com</t>
  </si>
  <si>
    <t>Mustafa Ajlouni</t>
  </si>
  <si>
    <t>Aqabawi</t>
  </si>
  <si>
    <t>mustafa@aqabawi.com</t>
  </si>
  <si>
    <t xml:space="preserve">Ibrahim Abu Aisha </t>
  </si>
  <si>
    <t>Butter &amp; Dough Bakery</t>
  </si>
  <si>
    <t>butter.dough.bakery.aqaba@gmail.com</t>
  </si>
  <si>
    <t>Bayan Al Ryati</t>
  </si>
  <si>
    <t>bayanryati@gmail.com</t>
  </si>
  <si>
    <t>Bashar Al Dabet</t>
  </si>
  <si>
    <t>25 Hotel</t>
  </si>
  <si>
    <t>no email</t>
  </si>
  <si>
    <t>Majdi Al Qudah</t>
  </si>
  <si>
    <t>360 Dance Frame</t>
  </si>
  <si>
    <t>majdi@majdialqudah.com</t>
  </si>
  <si>
    <t>Samah Najar</t>
  </si>
  <si>
    <t>iOffers</t>
  </si>
  <si>
    <t>manarmoulkhy@gmail.com</t>
  </si>
  <si>
    <t>SM067</t>
  </si>
  <si>
    <t>Shahed Nabeel Mohammad Al-Khateeb</t>
  </si>
  <si>
    <t>ʿĀlam al-Nabātāt li-Barmajyāt al-Dhakāʾ al-Iṣṭināʿī</t>
  </si>
  <si>
    <t>0795399237</t>
  </si>
  <si>
    <t>shahd@worldofplants.ai</t>
  </si>
  <si>
    <t>SM069</t>
  </si>
  <si>
    <t>Abdalhalim Ahmad Awad Hassan</t>
  </si>
  <si>
    <t>Teleskop lab</t>
  </si>
  <si>
    <t>0790988550</t>
  </si>
  <si>
    <t>abdhalim1983@yahoo.co.uk</t>
  </si>
  <si>
    <t>SM070</t>
  </si>
  <si>
    <t>Abdullah Abu-alhijaa</t>
  </si>
  <si>
    <t>StarFall Training Academy</t>
  </si>
  <si>
    <t>0788045008</t>
  </si>
  <si>
    <t>+962 7 9069 6331</t>
  </si>
  <si>
    <t>abdullah.alhijaa@gmail.com</t>
  </si>
  <si>
    <t>SM089</t>
  </si>
  <si>
    <t>Hamzeh Abdel Kareem Bani-Issa</t>
  </si>
  <si>
    <t>Karbon</t>
  </si>
  <si>
    <t>0796770230</t>
  </si>
  <si>
    <t>hamzeh.baniiissa@outlook.com</t>
  </si>
  <si>
    <t>IC-AC-J-8 / PASS</t>
  </si>
  <si>
    <t>Suad Ali Diyab Al-Khatib</t>
  </si>
  <si>
    <t>Drying herbs</t>
  </si>
  <si>
    <t>0787548445</t>
  </si>
  <si>
    <t>suad.alkhateeb20@gmail.com</t>
  </si>
  <si>
    <t>Ibtisam Hussein Abed AlAziza AlSalamat HUSSEIN ABED AL AZIZALSALAMAT</t>
  </si>
  <si>
    <t>Guest house</t>
  </si>
  <si>
    <t>0772882751</t>
  </si>
  <si>
    <t>0772194009</t>
  </si>
  <si>
    <t>omahmadalsalamat078@gmail.com</t>
  </si>
  <si>
    <t>IC-AC-M-7 / PASS</t>
  </si>
  <si>
    <t>Shatha Al-Alimat</t>
  </si>
  <si>
    <t>Gory farm</t>
  </si>
  <si>
    <t>0792399576</t>
  </si>
  <si>
    <t>+962 7 7910 3908</t>
  </si>
  <si>
    <t>nooramohmad553@gmail.com</t>
  </si>
  <si>
    <t>IC-AC-M-7 / Ideate to Innovate / PASS</t>
  </si>
  <si>
    <t>Shahd Tareq Abdul-Rahim Al-Khatib</t>
  </si>
  <si>
    <t>Taj bakery</t>
  </si>
  <si>
    <t>0791800473</t>
  </si>
  <si>
    <t>0797804370</t>
  </si>
  <si>
    <t>alkhatebshahed3@gmail.com</t>
  </si>
  <si>
    <t>Hanem Abdul-Qader Ibrahim Salamah</t>
  </si>
  <si>
    <t>ECO RIDE</t>
  </si>
  <si>
    <t>0779358816</t>
  </si>
  <si>
    <t>Zozosdefat@gmail.com</t>
  </si>
  <si>
    <t>PASS South</t>
  </si>
  <si>
    <t>Tamader Mohammad Shalish Harahsheh</t>
  </si>
  <si>
    <t>Water-Saving Plants Nursery</t>
  </si>
  <si>
    <t>0778274250</t>
  </si>
  <si>
    <t>0777142841</t>
  </si>
  <si>
    <t>abumkhz@gmail.com</t>
  </si>
  <si>
    <t>Nouf Hamoud Mufdi Al-Shara'ah</t>
  </si>
  <si>
    <t>Sustainable Golden farms</t>
  </si>
  <si>
    <t>0787006308</t>
  </si>
  <si>
    <t>0778565851</t>
  </si>
  <si>
    <t>shyshanghthyan@gmail.com</t>
  </si>
  <si>
    <t>Ikram Abdullah Hilal Al-Shouhah</t>
  </si>
  <si>
    <t>Al-Khairat for Sustainable Organic Farming</t>
  </si>
  <si>
    <t>0777496561</t>
  </si>
  <si>
    <t>0777452742</t>
  </si>
  <si>
    <t>alshouhaekram@gmail.com</t>
  </si>
  <si>
    <t>Ra’ed Abu Najim</t>
  </si>
  <si>
    <t>Bmakanak</t>
  </si>
  <si>
    <t>0790068586</t>
  </si>
  <si>
    <t>0798608080</t>
  </si>
  <si>
    <t>Raed.abu.najim@gmail.com</t>
  </si>
  <si>
    <t>SM142</t>
  </si>
  <si>
    <t>Jordan Start Acceleration Cohort 3 North / PASS</t>
  </si>
  <si>
    <t>Aseel AlAzzi</t>
  </si>
  <si>
    <t>Nature Bliss for Cosmetics</t>
  </si>
  <si>
    <t>00962775726262</t>
  </si>
  <si>
    <t>aseel@solarosette.com</t>
  </si>
  <si>
    <t>IC-AC-K-10 / PASS</t>
  </si>
  <si>
    <t>Wesam Ibrahim Hussein AlQatawna</t>
  </si>
  <si>
    <t>HiHealth Technologies</t>
  </si>
  <si>
    <t>0795090320</t>
  </si>
  <si>
    <t>0790625559</t>
  </si>
  <si>
    <t>wesamqataweneh@gmail.com</t>
  </si>
  <si>
    <t>Wesam Nabil Al-Shamayleh</t>
  </si>
  <si>
    <t>wesam cadeau</t>
  </si>
  <si>
    <t>0792281676</t>
  </si>
  <si>
    <t>0797829328</t>
  </si>
  <si>
    <t>wesamnabeel1981@gmail.com</t>
  </si>
  <si>
    <t>Biban</t>
  </si>
  <si>
    <t>Thelal Ghaleb Al-Shamayleh</t>
  </si>
  <si>
    <t>Easy robot Kit</t>
  </si>
  <si>
    <t>0776862432</t>
  </si>
  <si>
    <t>0797535171</t>
  </si>
  <si>
    <t>thelal.easyrobotkit2@gmail.com</t>
  </si>
  <si>
    <t>SM171</t>
  </si>
  <si>
    <t>Ibtihal Eid Falih Al-Sarhan</t>
  </si>
  <si>
    <t>Al-Thahab Al-Abyad (The White Gold)</t>
  </si>
  <si>
    <t>0772009159</t>
  </si>
  <si>
    <t>malkalsrhan33@gmail.com</t>
  </si>
  <si>
    <t>SM190</t>
  </si>
  <si>
    <t>IC-ID-M-11 / PwD / PASS</t>
  </si>
  <si>
    <t>Ahlam sulayman FARHAN ALKHAZALEH</t>
  </si>
  <si>
    <t>Food manufacturing and vegetable farming from my farm</t>
  </si>
  <si>
    <t>0772151305</t>
  </si>
  <si>
    <t>0772461467</t>
  </si>
  <si>
    <t>ahlamali345677@gmail.com</t>
  </si>
  <si>
    <t>WAIC Outp1 / IC-LN-G-25</t>
  </si>
  <si>
    <t>Faris Aloul</t>
  </si>
  <si>
    <t>Vamu</t>
  </si>
  <si>
    <t>+962777881922</t>
  </si>
  <si>
    <t>faris@vamu.io</t>
  </si>
  <si>
    <t xml:space="preserve">confirmed </t>
  </si>
  <si>
    <t>SM196</t>
  </si>
  <si>
    <t>WAIC Outp1</t>
  </si>
  <si>
    <t>Raed Al Dado</t>
  </si>
  <si>
    <t>eDamana</t>
  </si>
  <si>
    <t>0796750071</t>
  </si>
  <si>
    <t>0797111202</t>
  </si>
  <si>
    <t>Raed@edamana.com</t>
  </si>
  <si>
    <t xml:space="preserve">not coming </t>
  </si>
  <si>
    <t>SM197</t>
  </si>
  <si>
    <t>Moe Shawabkeh</t>
  </si>
  <si>
    <t>Budggy</t>
  </si>
  <si>
    <t>0791286666</t>
  </si>
  <si>
    <t>mshawabkeh@protonmail.com</t>
  </si>
  <si>
    <t>he is out of the country (will get back to me)</t>
  </si>
  <si>
    <t>SM214</t>
  </si>
  <si>
    <t>IC-ID-J-12 / PASS</t>
  </si>
  <si>
    <t>Rima Ahmed Hassan Al-Zoubi</t>
  </si>
  <si>
    <t>Basil (Resin)</t>
  </si>
  <si>
    <t>+962772102550</t>
  </si>
  <si>
    <t>remaalzoubi2345@gmail.com</t>
  </si>
  <si>
    <t>SM217</t>
  </si>
  <si>
    <t>South SheVenture</t>
  </si>
  <si>
    <t>Anagym Ma’n Abdullah Al-Su’oub</t>
  </si>
  <si>
    <t>Anagym Cosmetics</t>
  </si>
  <si>
    <t>0772555217</t>
  </si>
  <si>
    <t>0795865339</t>
  </si>
  <si>
    <t>anaghemsoub324@gmail.com</t>
  </si>
  <si>
    <t>SM218</t>
  </si>
  <si>
    <t>Shaimaa Abu Qudeiri</t>
  </si>
  <si>
    <t>Healthy Farm</t>
  </si>
  <si>
    <t>0795806846</t>
  </si>
  <si>
    <t>0797542524</t>
  </si>
  <si>
    <t>shaymaa.1995@yahoo.com</t>
  </si>
  <si>
    <r>
      <t>PASS South/</t>
    </r>
    <r>
      <rPr>
        <sz val="11"/>
        <color rgb="FFFF0000"/>
        <rFont val="Arial"/>
        <family val="2"/>
      </rPr>
      <t xml:space="preserve">She Venture </t>
    </r>
  </si>
  <si>
    <t>Shaimaa Mansour Masoud Abu Qdeiri</t>
  </si>
  <si>
    <t>healthy farm by shaymaa</t>
  </si>
  <si>
    <t>SM219</t>
  </si>
  <si>
    <t>Esraa Ahmad Mahmoud Al-Su’oub</t>
  </si>
  <si>
    <t>Jouri for Food Products</t>
  </si>
  <si>
    <t>0796959295</t>
  </si>
  <si>
    <t>esraasoub85@yahoo.com</t>
  </si>
  <si>
    <t>SM220</t>
  </si>
  <si>
    <t>Islam Al-Shehimat</t>
  </si>
  <si>
    <t>Jameed Karaki</t>
  </si>
  <si>
    <t>0795424909</t>
  </si>
  <si>
    <t>0796399286</t>
  </si>
  <si>
    <t>eslamsuhaimat@gmail.com</t>
  </si>
  <si>
    <t>SM221</t>
  </si>
  <si>
    <t>Asmaa Mohammad Al-Jarafeen</t>
  </si>
  <si>
    <t>Asmaa arts</t>
  </si>
  <si>
    <t>0775669591</t>
  </si>
  <si>
    <t>asmaajrafeen09@gmail.com</t>
  </si>
  <si>
    <t>SM223</t>
  </si>
  <si>
    <t>Hana Ahmad Abu Qudeiri</t>
  </si>
  <si>
    <t>The Jameed House</t>
  </si>
  <si>
    <t>0795403962</t>
  </si>
  <si>
    <t>hanaabuqudary@yahoo.com</t>
  </si>
  <si>
    <t>SM224</t>
  </si>
  <si>
    <t>South SheVenture / PASS</t>
  </si>
  <si>
    <t>Hiyam Ishaq Mohammad Abu Safi</t>
  </si>
  <si>
    <t>0795615664</t>
  </si>
  <si>
    <t>heiamabosafi@gmail.com</t>
  </si>
  <si>
    <t>SM225</t>
  </si>
  <si>
    <t>Alaa Zaid Al-Shamayleh</t>
  </si>
  <si>
    <t>pearlscosmetics</t>
  </si>
  <si>
    <t>0772223399</t>
  </si>
  <si>
    <t>+962 7 9963 9308</t>
  </si>
  <si>
    <t>allashamaileh@yahoo.com</t>
  </si>
  <si>
    <t>SM226</t>
  </si>
  <si>
    <t>Saba’ Al-Rabab’a</t>
  </si>
  <si>
    <t>Lotus for Events</t>
  </si>
  <si>
    <t>0772684747</t>
  </si>
  <si>
    <t>0779862287</t>
  </si>
  <si>
    <t>Sabaaarababah@yahoo.com</t>
  </si>
  <si>
    <t>undelivered</t>
  </si>
  <si>
    <t>sabaarababaha@yahoo.com</t>
  </si>
  <si>
    <t>SM227</t>
  </si>
  <si>
    <t>Alnawar Sami Al-Shamayleh</t>
  </si>
  <si>
    <t>0798912790</t>
  </si>
  <si>
    <t>0795123313</t>
  </si>
  <si>
    <t>Nwara.photo@gmail.com</t>
  </si>
  <si>
    <t>SM228</t>
  </si>
  <si>
    <t>Ohood Fakhri Ibrahim Al-Midaddhah</t>
  </si>
  <si>
    <t>Gym covenants</t>
  </si>
  <si>
    <t>0791990853</t>
  </si>
  <si>
    <t>ohoodziad3@gmail.com</t>
  </si>
  <si>
    <t>SM229</t>
  </si>
  <si>
    <t>Khawla Eid Al-Majeed Al-Badour</t>
  </si>
  <si>
    <t>0776478960</t>
  </si>
  <si>
    <t>SM230</t>
  </si>
  <si>
    <t>Mona Abdulmajeed Abdulqader Al-Badour</t>
  </si>
  <si>
    <t>Mona Al-Badour for Sweets Production and Banquet Preparation</t>
  </si>
  <si>
    <t>0772234718</t>
  </si>
  <si>
    <t>0778778265</t>
  </si>
  <si>
    <t>monabdour88@gmail.com</t>
  </si>
  <si>
    <t>SM231</t>
  </si>
  <si>
    <t>Rania Bayadeh</t>
  </si>
  <si>
    <t>Armaram Art</t>
  </si>
  <si>
    <t>0790275995</t>
  </si>
  <si>
    <t>raniaalbayaidah@gmail.com</t>
  </si>
  <si>
    <t>SM232</t>
  </si>
  <si>
    <t>Suzan Abdulkarim Al-Shamayein</t>
  </si>
  <si>
    <t>Susan Workshop for Cotton Underwear Manufacturing</t>
  </si>
  <si>
    <t>0797501762</t>
  </si>
  <si>
    <t>0798692032</t>
  </si>
  <si>
    <t>suzan.shmaeen@ gmal.com</t>
  </si>
  <si>
    <t>SM233</t>
  </si>
  <si>
    <t>Intisar Ali Mohammad Al-Maraleh</t>
  </si>
  <si>
    <t>Salt and Vinegar for Pickles</t>
  </si>
  <si>
    <t>0776462134</t>
  </si>
  <si>
    <t>0775133861</t>
  </si>
  <si>
    <t>umramzimrahleh@gmail.com</t>
  </si>
  <si>
    <t>SM234</t>
  </si>
  <si>
    <t>Manal Mohammad Ibrahim Al-Su’oub</t>
  </si>
  <si>
    <t>Karakstore Um Obeida for Dairy Products</t>
  </si>
  <si>
    <t>0790443659</t>
  </si>
  <si>
    <t>mnalalswb@gmail.com</t>
  </si>
  <si>
    <t>SM235</t>
  </si>
  <si>
    <t>Rana Suleiman Awad Al-Sawarees</t>
  </si>
  <si>
    <t>Flamingo store</t>
  </si>
  <si>
    <t>0776134670</t>
  </si>
  <si>
    <t>0 7 7268 6770</t>
  </si>
  <si>
    <t>rana2sulaiman@gmail.com</t>
  </si>
  <si>
    <t>SM236</t>
  </si>
  <si>
    <t>Najwa Subhi Khalaf Al-Rawajfeh</t>
  </si>
  <si>
    <t>A Piece of Sugar</t>
  </si>
  <si>
    <t>0775570654</t>
  </si>
  <si>
    <t xml:space="preserve"> </t>
  </si>
  <si>
    <t>SM237</t>
  </si>
  <si>
    <t>Tamara Al-Karaki</t>
  </si>
  <si>
    <t>House of Wisdom Library</t>
  </si>
  <si>
    <t>0799570334</t>
  </si>
  <si>
    <t>G@gmail.com</t>
  </si>
  <si>
    <t>tamaraalkk@gmail.com</t>
  </si>
  <si>
    <t>SM238</t>
  </si>
  <si>
    <t>Iman Ismail Salameh Al-Awran</t>
  </si>
  <si>
    <t>Mashrou' Iman litahdheeb al-shmagh al-urduni wal-tatreez</t>
  </si>
  <si>
    <t>0772388993</t>
  </si>
  <si>
    <t>0786668297</t>
  </si>
  <si>
    <t>emanoran5@gmail.com</t>
  </si>
  <si>
    <t>SM244</t>
  </si>
  <si>
    <t>IC-ID-M-11 / PASS</t>
  </si>
  <si>
    <t>Doaa Mohammad Ayadeh Al-Masaeed</t>
  </si>
  <si>
    <t>zira’at nabtat al-aloevera wa istikhrāj khalasatiha wa isti‘malaha fi sina‘at muntajat tajmiliyya tibiya minha</t>
  </si>
  <si>
    <t>hsn148390@gmail.com</t>
  </si>
  <si>
    <t>SM248</t>
  </si>
  <si>
    <t>Alaa Adel Tawfiq Al-Rihani</t>
  </si>
  <si>
    <t>Alaa Al-Rihani Foundation – House of Crafts</t>
  </si>
  <si>
    <t>0791464684</t>
  </si>
  <si>
    <t>0799913433</t>
  </si>
  <si>
    <t>Alaarihani6@gmail.com</t>
  </si>
  <si>
    <t>SM250</t>
  </si>
  <si>
    <t>Lana Khalaf Ahmad Al-Tarawneh</t>
  </si>
  <si>
    <t>Toys corner</t>
  </si>
  <si>
    <t>0772596671</t>
  </si>
  <si>
    <t>lanatarawnehco@gmail.com</t>
  </si>
  <si>
    <t>SM251</t>
  </si>
  <si>
    <t>Lama Ali Saleh Al-Mahadeen</t>
  </si>
  <si>
    <t>Al-Huda Children's Nursery or Al-Huda Childcare</t>
  </si>
  <si>
    <t>0797598554</t>
  </si>
  <si>
    <t>0790396221</t>
  </si>
  <si>
    <t>mahadeenlama@gmail.com</t>
  </si>
  <si>
    <t>SM278</t>
  </si>
  <si>
    <t>Dareen Mahmoud Al-Battoush</t>
  </si>
  <si>
    <t>Chef Dareen Al-Battoush</t>
  </si>
  <si>
    <t>hmztslmy8@gmail.com</t>
  </si>
  <si>
    <t>IC-AC-IR-14 / PASS</t>
  </si>
  <si>
    <t>RAFA ABDEL FATTAH MUSTAFA</t>
  </si>
  <si>
    <t>Al Qaisar</t>
  </si>
  <si>
    <t>rafa651979@gmail.com</t>
  </si>
  <si>
    <t>IC-LN-M-20 / PwD</t>
  </si>
  <si>
    <t>Ahsan Malakawi</t>
  </si>
  <si>
    <t>keTchen om bashar Al</t>
  </si>
  <si>
    <t>0772690875</t>
  </si>
  <si>
    <t>0772395478</t>
  </si>
  <si>
    <t>ahsan.malkawy.1851@gmail.com</t>
  </si>
  <si>
    <t>IC-LN-M-20 / PwD / PASS</t>
  </si>
  <si>
    <t>Reem yousef othman othman</t>
  </si>
  <si>
    <t>Umm Ghazi’s Kitchen</t>
  </si>
  <si>
    <t>0796532269</t>
  </si>
  <si>
    <t>reem othman005@gmail'comm</t>
  </si>
  <si>
    <t>IC-LN-M-20 / PASS</t>
  </si>
  <si>
    <t xml:space="preserve">Hala Al-Anaswah  </t>
  </si>
  <si>
    <t>Hala’s Chocolate</t>
  </si>
  <si>
    <t>0795439175</t>
  </si>
  <si>
    <t>‏‪+962 7 9692 1858‬‏</t>
  </si>
  <si>
    <t>halaalilmar@gmail.com</t>
  </si>
  <si>
    <t>Abla salam</t>
  </si>
  <si>
    <t>Albait al torathi</t>
  </si>
  <si>
    <t>0772241349</t>
  </si>
  <si>
    <t>ly0449282@gmail.com</t>
  </si>
  <si>
    <t>Nawal Hamad Aqleh Shdaydeh</t>
  </si>
  <si>
    <t xml:space="preserve">Um Karam Owaidat Kitchen  </t>
  </si>
  <si>
    <t>nawalh981.gmail.com</t>
  </si>
  <si>
    <t>Noor Hassan Shhadeh Al-Issa</t>
  </si>
  <si>
    <t xml:space="preserve">Home-Based Food Production  </t>
  </si>
  <si>
    <t>na9839694@gmail.com</t>
  </si>
  <si>
    <t>IC-LN-A-22 / PASS</t>
  </si>
  <si>
    <t>Rami hussam alntsheh</t>
  </si>
  <si>
    <t>Ramp</t>
  </si>
  <si>
    <t>Alntshehr@gmail.com</t>
  </si>
  <si>
    <t>Khtaam Att Aljayouis</t>
  </si>
  <si>
    <t>Kharaz</t>
  </si>
  <si>
    <t>Khtaamjayousi@gmail.com</t>
  </si>
  <si>
    <t>Khaled badawi</t>
  </si>
  <si>
    <t xml:space="preserve">Calma Café  </t>
  </si>
  <si>
    <t>Kbadawi562@gmail.com</t>
  </si>
  <si>
    <t>Nagham Khaled Ali Abu Afifa</t>
  </si>
  <si>
    <t xml:space="preserve">Gifted Child Kindergarten  </t>
  </si>
  <si>
    <t>naghamabuafifeh@yahoo.com</t>
  </si>
  <si>
    <t>Randa Elayyan</t>
  </si>
  <si>
    <t>ProBreeder</t>
  </si>
  <si>
    <t>Randa.elayyan@probreeder.app</t>
  </si>
  <si>
    <t>Mousa Samara</t>
  </si>
  <si>
    <t>OrganicG</t>
  </si>
  <si>
    <t>samaramousa@gmail.com</t>
  </si>
  <si>
    <t>IC-AC-A-23 / PASS</t>
  </si>
  <si>
    <t>Maher Abdel Fattah Mohammed Abdel Haq</t>
  </si>
  <si>
    <t xml:space="preserve">Business Transactions for Accounting and Tax  </t>
  </si>
  <si>
    <t>0776699001</t>
  </si>
  <si>
    <t>0776699003</t>
  </si>
  <si>
    <t>b.t.acc.tax@gmail.com</t>
  </si>
  <si>
    <t>Mohammed Fawaz Mohammed Al-Khattab</t>
  </si>
  <si>
    <t xml:space="preserve">Orca Sports Complex  </t>
  </si>
  <si>
    <t>0799510850</t>
  </si>
  <si>
    <t>0795767108</t>
  </si>
  <si>
    <t>Fawazmkh2013@icloud.com</t>
  </si>
  <si>
    <t>Walaa Hussein Mahmoud Al-Bashabsheh</t>
  </si>
  <si>
    <t xml:space="preserve">Al-Wala Studio  </t>
  </si>
  <si>
    <t>0798662074</t>
  </si>
  <si>
    <t>0796819847</t>
  </si>
  <si>
    <t>wlaalbshabsh@gmail.com</t>
  </si>
  <si>
    <t>Karam Ahmad Saber Alaiwah</t>
  </si>
  <si>
    <t xml:space="preserve">ECI-JO  </t>
  </si>
  <si>
    <t>0790191866</t>
  </si>
  <si>
    <t>0799905557</t>
  </si>
  <si>
    <t>Karamasaber.eli@gmail.com</t>
  </si>
  <si>
    <t>IC-AC-K-24 / PASS</t>
  </si>
  <si>
    <t>Mohammed Ibrahim Al-Jaafreh</t>
  </si>
  <si>
    <t xml:space="preserve">Organic Fertilizer Production (Compost)  </t>
  </si>
  <si>
    <t>0798070670</t>
  </si>
  <si>
    <t>mohammadaljaafreh84@yahoo.com</t>
  </si>
  <si>
    <t>Amal Zuhri Al-Dhneibat</t>
  </si>
  <si>
    <t xml:space="preserve">Sama Printing  </t>
  </si>
  <si>
    <t>077245 6787</t>
  </si>
  <si>
    <t>amaalthnebat82@gmail.com</t>
  </si>
  <si>
    <t>SM548</t>
  </si>
  <si>
    <t>Fast Track C South</t>
  </si>
  <si>
    <t>Tariq Aref Al-Suqour</t>
  </si>
  <si>
    <t>Tariq Al-Suqour Design and Engineering Office</t>
  </si>
  <si>
    <t>0772073282</t>
  </si>
  <si>
    <t>Tareq.sqour92@yahoo.com</t>
  </si>
  <si>
    <t>SM549</t>
  </si>
  <si>
    <t>Salah Hajjaj</t>
  </si>
  <si>
    <t>Agrin Flow</t>
  </si>
  <si>
    <t>0772796429</t>
  </si>
  <si>
    <t>salahhg03@gmail.com</t>
  </si>
  <si>
    <t>SM550</t>
  </si>
  <si>
    <t>Lean Abu Rokaiah</t>
  </si>
  <si>
    <t>Laguna Visual Communications</t>
  </si>
  <si>
    <t>0797992323</t>
  </si>
  <si>
    <t>0</t>
  </si>
  <si>
    <t>leensabti@lagunavco.com</t>
  </si>
  <si>
    <t>SM551</t>
  </si>
  <si>
    <t>Wejdan Hasanat</t>
  </si>
  <si>
    <t>Wejdan Hasanat Beauty Clinic</t>
  </si>
  <si>
    <t>0791559241</t>
  </si>
  <si>
    <t>0772340466</t>
  </si>
  <si>
    <t>hasanatwejdan@gmail.com</t>
  </si>
  <si>
    <t>SM552</t>
  </si>
  <si>
    <t>Fast Track South</t>
  </si>
  <si>
    <t>Ahmed Ouda Allah Faleh Al-Qutaytat</t>
  </si>
  <si>
    <t>Khayrat Al-Janoub Sweets</t>
  </si>
  <si>
    <t>0777701991</t>
  </si>
  <si>
    <t>Qtaitat.ahmad@gmail.com</t>
  </si>
  <si>
    <t>SM553</t>
  </si>
  <si>
    <t>Abdulrahman Mohammad Saud Rasheed Al-Qaramseh</t>
  </si>
  <si>
    <t>Around Ma'an - Our Heritage Shop</t>
  </si>
  <si>
    <t>0780734554</t>
  </si>
  <si>
    <t>0772108489</t>
  </si>
  <si>
    <t>aboodmaan99@gmail.com</t>
  </si>
  <si>
    <t>SM554</t>
  </si>
  <si>
    <t>Amar Khaled Mousa Al-Khawaldeh</t>
  </si>
  <si>
    <t>Guide Me</t>
  </si>
  <si>
    <t>0778278765</t>
  </si>
  <si>
    <t>0775291522</t>
  </si>
  <si>
    <t>Ammar84315@gmail.com</t>
  </si>
  <si>
    <t>SM555</t>
  </si>
  <si>
    <t>Abdulrahman Abdulqader Sameh Al-Muhtasib</t>
  </si>
  <si>
    <t>Byte</t>
  </si>
  <si>
    <t>07822209773</t>
  </si>
  <si>
    <t>0775878389</t>
  </si>
  <si>
    <t>a.amohtasib@byte-center.com</t>
  </si>
  <si>
    <t>abd2003760@gmail.com</t>
  </si>
  <si>
    <t>SM556</t>
  </si>
  <si>
    <t>Aya Yahya Al-Huwamdeh</t>
  </si>
  <si>
    <t>Al-Ronaq</t>
  </si>
  <si>
    <t>0779092474</t>
  </si>
  <si>
    <t>aya448900@gmail.com</t>
  </si>
  <si>
    <t>SM557</t>
  </si>
  <si>
    <t>Batool Odeh Soliman Murad</t>
  </si>
  <si>
    <t>Batool Murad Artist</t>
  </si>
  <si>
    <t>0772814524</t>
  </si>
  <si>
    <t>0772658888</t>
  </si>
  <si>
    <t>Batool_murad@yahoo.com</t>
  </si>
  <si>
    <t>SM558</t>
  </si>
  <si>
    <t>Tamer Mohammad Ali Al-Huwamdeh</t>
  </si>
  <si>
    <t>Tamer Al-Hawamdeh Advertising Production</t>
  </si>
  <si>
    <t>0789130400</t>
  </si>
  <si>
    <t>Tamerhawamdeh56@gmail.com</t>
  </si>
  <si>
    <t>SM559</t>
  </si>
  <si>
    <t>Tasneem Al-Awran</t>
  </si>
  <si>
    <t>Accountant</t>
  </si>
  <si>
    <t>0772637540</t>
  </si>
  <si>
    <t>0777731615</t>
  </si>
  <si>
    <t>Tasneemoran660@gmail.com</t>
  </si>
  <si>
    <t>SM560</t>
  </si>
  <si>
    <t>Fast Track C South / PASS</t>
  </si>
  <si>
    <t>Zaid Hilal Khalif Al-Laymoon</t>
  </si>
  <si>
    <t>Villa</t>
  </si>
  <si>
    <t>0776393335</t>
  </si>
  <si>
    <t>Zeedalimon1991@gmail.com</t>
  </si>
  <si>
    <t>SM561</t>
  </si>
  <si>
    <t>Ahmed Al-Nizami</t>
  </si>
  <si>
    <t>Al-Laith for Cosmetics and Hair Salon Equipment</t>
  </si>
  <si>
    <t>0775100402</t>
  </si>
  <si>
    <t>Ahmad.hani85@icloud.com</t>
  </si>
  <si>
    <t>SM562</t>
  </si>
  <si>
    <t>Amar Khalil Amro Al-Omariyeen</t>
  </si>
  <si>
    <t>Turkish Fig, Persimmon, and Almond Production</t>
  </si>
  <si>
    <t>0793330375</t>
  </si>
  <si>
    <t>0772722074</t>
  </si>
  <si>
    <t>Sghf1345@gmail.com</t>
  </si>
  <si>
    <t>SM563</t>
  </si>
  <si>
    <t>Mustafa Saleh Hamad Al-Muhasneh</t>
  </si>
  <si>
    <t>Dana Heritage Lab</t>
  </si>
  <si>
    <t>0791626467</t>
  </si>
  <si>
    <t>0799017513</t>
  </si>
  <si>
    <t>ahmadalmahasena</t>
  </si>
  <si>
    <t>wrong email</t>
  </si>
  <si>
    <t>Mustafamhas7@gmail.com</t>
  </si>
  <si>
    <t>SM564</t>
  </si>
  <si>
    <t>Ahmed Sameeh Salman Ayal Salman</t>
  </si>
  <si>
    <t>Ain Lahza Tourist Camp</t>
  </si>
  <si>
    <t>0776357272</t>
  </si>
  <si>
    <t>depofgeology@gmail.com</t>
  </si>
  <si>
    <t>SM565</t>
  </si>
  <si>
    <t>Shaden Khalil Dweirj</t>
  </si>
  <si>
    <t>0775977124</t>
  </si>
  <si>
    <t>0776820221</t>
  </si>
  <si>
    <t>Shadinkhalil9@gmail.com</t>
  </si>
  <si>
    <t>SM566</t>
  </si>
  <si>
    <t>Yousef Abdullah Ali Al-Nuaimat</t>
  </si>
  <si>
    <t>Masarati</t>
  </si>
  <si>
    <t>0772535174</t>
  </si>
  <si>
    <t>yousefnaimat98@gmail.com</t>
  </si>
  <si>
    <t>SM567</t>
  </si>
  <si>
    <t>Hanin Mustafa Yousef Al-Sheikh Ahmed</t>
  </si>
  <si>
    <t>Our Story</t>
  </si>
  <si>
    <t>0782972489</t>
  </si>
  <si>
    <t>0781707100</t>
  </si>
  <si>
    <t>Haneenmus079@gmail.com</t>
  </si>
  <si>
    <t>SM568</t>
  </si>
  <si>
    <t>Shimaa Mahmoud Taha Yaseen</t>
  </si>
  <si>
    <t>Art</t>
  </si>
  <si>
    <t>0778080913</t>
  </si>
  <si>
    <t>Shaimaayaseen.orange95@gmail.com</t>
  </si>
  <si>
    <t>SM569</t>
  </si>
  <si>
    <t>Jardinia Yousef Abdulrahman Al-Habahbeh</t>
  </si>
  <si>
    <t>Lamhah Art</t>
  </si>
  <si>
    <t>0772680566</t>
  </si>
  <si>
    <t>0772135910</t>
  </si>
  <si>
    <t>gardeeniaalhabahbeh@gmail.com</t>
  </si>
  <si>
    <t>SM570</t>
  </si>
  <si>
    <t>Aseel Khalaf Al-Habahbeh</t>
  </si>
  <si>
    <t>Petra Turmeric</t>
  </si>
  <si>
    <t>0772164364</t>
  </si>
  <si>
    <t>Aseelkhalaf94@gmail.com</t>
  </si>
  <si>
    <t>SM571</t>
  </si>
  <si>
    <t>Humam Abdul Latif Kamel Al-Mubaid</t>
  </si>
  <si>
    <t>SM572</t>
  </si>
  <si>
    <t>Siba Talal Mahmoud Al-Shayeb</t>
  </si>
  <si>
    <t>Seruva</t>
  </si>
  <si>
    <t>0791930162</t>
  </si>
  <si>
    <t>0797785041</t>
  </si>
  <si>
    <t>Sebatalal493@gmail.com</t>
  </si>
  <si>
    <t>SM573</t>
  </si>
  <si>
    <t>Dhaka Khalaf Salman Al-Areenat</t>
  </si>
  <si>
    <t>Zeko</t>
  </si>
  <si>
    <t>0796564001</t>
  </si>
  <si>
    <t>0798686960</t>
  </si>
  <si>
    <t>Thakaa079@gmail.com</t>
  </si>
  <si>
    <t>SM574</t>
  </si>
  <si>
    <t>Ibrahem Mohammad Al-Sqour</t>
  </si>
  <si>
    <t>VRjo</t>
  </si>
  <si>
    <t>0772638327</t>
  </si>
  <si>
    <t>ibrahemsqour@yahoo.com</t>
  </si>
  <si>
    <t>SM575</t>
  </si>
  <si>
    <t>Enas Al-Dweikat</t>
  </si>
  <si>
    <t>Revival</t>
  </si>
  <si>
    <t>0776838775</t>
  </si>
  <si>
    <t>0772632023</t>
  </si>
  <si>
    <t>Enasdweakat@gmail.com</t>
  </si>
  <si>
    <t>SM576</t>
  </si>
  <si>
    <t>Buthena Abdullah Mohammed Al-Mazanah</t>
  </si>
  <si>
    <t>0776771593</t>
  </si>
  <si>
    <t>0772209555</t>
  </si>
  <si>
    <t>bouthena65@gmail.com</t>
  </si>
  <si>
    <t>SM579</t>
  </si>
  <si>
    <t>Khaled Jafar Abdou</t>
  </si>
  <si>
    <t>Jafarshop.com</t>
  </si>
  <si>
    <t>0797265597</t>
  </si>
  <si>
    <t>khaled@jafarshop.com</t>
  </si>
  <si>
    <t>SM581</t>
  </si>
  <si>
    <t>Mazen Darwish</t>
  </si>
  <si>
    <t>Washywash</t>
  </si>
  <si>
    <t>962796680278</t>
  </si>
  <si>
    <t>966535222431</t>
  </si>
  <si>
    <t>mazen@washywash.com</t>
  </si>
  <si>
    <t>SM582</t>
  </si>
  <si>
    <t>Luma Al Adnani</t>
  </si>
  <si>
    <t>Adam and Mishmish</t>
  </si>
  <si>
    <t>00962777392255</t>
  </si>
  <si>
    <t>Luma@adamwamishmish.com</t>
  </si>
  <si>
    <t>SM583</t>
  </si>
  <si>
    <t>Hashim Jawad Hasan</t>
  </si>
  <si>
    <t>Carseer</t>
  </si>
  <si>
    <t>00962799002937</t>
  </si>
  <si>
    <t>00962799944480</t>
  </si>
  <si>
    <t>hashim.hasan@carseer.com</t>
  </si>
  <si>
    <t>SM585</t>
  </si>
  <si>
    <t>Sami Rasekh</t>
  </si>
  <si>
    <t>Tawqi3i</t>
  </si>
  <si>
    <t>+962795121379</t>
  </si>
  <si>
    <t>sami@tawqi3i.com</t>
  </si>
  <si>
    <t>SM586</t>
  </si>
  <si>
    <t>Yousef Mohammad Awadallah</t>
  </si>
  <si>
    <t>Infoseed for Software Development</t>
  </si>
  <si>
    <t>0796451655</t>
  </si>
  <si>
    <t>0543212309</t>
  </si>
  <si>
    <t>Yousef.awadallah@info-seed.com</t>
  </si>
  <si>
    <t>SM587</t>
  </si>
  <si>
    <t>Amer Nasereddin</t>
  </si>
  <si>
    <t>Yaseer</t>
  </si>
  <si>
    <t>0796464000</t>
  </si>
  <si>
    <t>Amer@yaseerb2b.com</t>
  </si>
  <si>
    <t>SM591</t>
  </si>
  <si>
    <t>Jumana Eldur</t>
  </si>
  <si>
    <t>Numu</t>
  </si>
  <si>
    <t>0790209290</t>
  </si>
  <si>
    <t>Jumana.eldur@gmail.com</t>
  </si>
  <si>
    <t>SM594</t>
  </si>
  <si>
    <t>PwD North</t>
  </si>
  <si>
    <t>Iman Falah Issa Al-Khazaaleh</t>
  </si>
  <si>
    <t>Macramé Products</t>
  </si>
  <si>
    <t>0776647910</t>
  </si>
  <si>
    <t>0776467561</t>
  </si>
  <si>
    <t>gmail com  alaa lkazlh 1978</t>
  </si>
  <si>
    <t>SM595</t>
  </si>
  <si>
    <t>Tharwa Salem Hamed Al-Jaraideh</t>
  </si>
  <si>
    <t>Plant Nursery for Ornamental Plants and Fruit Trees</t>
  </si>
  <si>
    <t>0772627684</t>
  </si>
  <si>
    <t>0772102131</t>
  </si>
  <si>
    <t>SM596</t>
  </si>
  <si>
    <t>Ayat Abdulrahman Khalaf Al-Sioufi</t>
  </si>
  <si>
    <t>Al Amer Kitchen</t>
  </si>
  <si>
    <t>0792879127</t>
  </si>
  <si>
    <t>0796696151</t>
  </si>
  <si>
    <t>لا يوجد</t>
  </si>
  <si>
    <t>SM597</t>
  </si>
  <si>
    <t>Hiyam Mohsen Mohammed Haraishah</t>
  </si>
  <si>
    <t>Tailoring</t>
  </si>
  <si>
    <t>0772423833</t>
  </si>
  <si>
    <t>SM598</t>
  </si>
  <si>
    <t>Wafaa Mohammed Nawaf Al-Khazaaleh</t>
  </si>
  <si>
    <t>Productive Kitchen for Pickles and Seasonal Jams Production</t>
  </si>
  <si>
    <t>0795575722</t>
  </si>
  <si>
    <t>Wfaalkhzalh 138@gmail.com</t>
  </si>
  <si>
    <t>SM599</t>
  </si>
  <si>
    <t>Amal Enad Abdul Al-Hawamdeh</t>
  </si>
  <si>
    <t>Productive Kitchen</t>
  </si>
  <si>
    <t>0799270754</t>
  </si>
  <si>
    <t>0772693022</t>
  </si>
  <si>
    <t>khaledkzalh13@gmeli.com</t>
  </si>
  <si>
    <t>SM600</t>
  </si>
  <si>
    <t>Reem Mohammed Suleiman Al-Mashaqqbeh</t>
  </si>
  <si>
    <t>0777412546</t>
  </si>
  <si>
    <t>0770239361</t>
  </si>
  <si>
    <t>K6907098@gmail.com</t>
  </si>
  <si>
    <t>SM601</t>
  </si>
  <si>
    <t>Amina Mohammed Mansour Al-Haraishah</t>
  </si>
  <si>
    <t>Green Life</t>
  </si>
  <si>
    <t>0772899861</t>
  </si>
  <si>
    <t>0777742986</t>
  </si>
  <si>
    <t>HRAHSHHSRAJ548@GMAIL.COM</t>
  </si>
  <si>
    <t>SM602</t>
  </si>
  <si>
    <t>Rania Mohammed Ali Mahmoud Al-Shawafqeh</t>
  </si>
  <si>
    <t>Cartoon Characters and Voice Acting</t>
  </si>
  <si>
    <t>0777404277</t>
  </si>
  <si>
    <t>0777495392</t>
  </si>
  <si>
    <t>amshhmamshhm16@Gmail.com</t>
  </si>
  <si>
    <t>SM603</t>
  </si>
  <si>
    <t>Iman Yousef Khalif Al-Jaraideh</t>
  </si>
  <si>
    <t>Dairy Products and “Ajban Al-Khair”</t>
  </si>
  <si>
    <t>0772332053</t>
  </si>
  <si>
    <t>0776099613</t>
  </si>
  <si>
    <t>Emanjarydah@gmail.com</t>
  </si>
  <si>
    <t>SM604</t>
  </si>
  <si>
    <t>Amina Mohammed Awad Al-Haraishah</t>
  </si>
  <si>
    <t>Cheese and Dairy Products</t>
  </si>
  <si>
    <t>0772351179</t>
  </si>
  <si>
    <t>0772155449</t>
  </si>
  <si>
    <t>mjdalhrahshh01@gmail.com</t>
  </si>
  <si>
    <t>SM605</t>
  </si>
  <si>
    <t>Raed Salman Hamed Al-Jaraideh</t>
  </si>
  <si>
    <t>Aerobic Fitness Equipment</t>
  </si>
  <si>
    <t>0780814045</t>
  </si>
  <si>
    <t>huawei.388348@gmail.com</t>
  </si>
  <si>
    <t>SM606</t>
  </si>
  <si>
    <t>Mobasher Hamed Jabr Al-Shar’ah</t>
  </si>
  <si>
    <t>Sheep Farming Project</t>
  </si>
  <si>
    <t>0772331329</t>
  </si>
  <si>
    <t>0776165028</t>
  </si>
  <si>
    <t>ahoodhaa00@gmail.com</t>
  </si>
  <si>
    <t>SM607</t>
  </si>
  <si>
    <t>Yaser Mohammed Amin Ali Shteiwi</t>
  </si>
  <si>
    <t>Autumn Perfumes</t>
  </si>
  <si>
    <t>0788727500</t>
  </si>
  <si>
    <t>0796724288</t>
  </si>
  <si>
    <t>Yas0018476@gimal.com</t>
  </si>
  <si>
    <t>SM608</t>
  </si>
  <si>
    <t>Ibtisam Rashid Manahi Bani Sakher</t>
  </si>
  <si>
    <t>Soap-Making and Basalt Stone Carving Project</t>
  </si>
  <si>
    <t>0796976133</t>
  </si>
  <si>
    <t>0778132500</t>
  </si>
  <si>
    <t>zcvgft2000@gmail.com</t>
  </si>
  <si>
    <t>SM609</t>
  </si>
  <si>
    <t>Khadija Naif Saleh Haddad</t>
  </si>
  <si>
    <t>0786145827</t>
  </si>
  <si>
    <t>0791168575</t>
  </si>
  <si>
    <t>Khhaddad776@gmail.com</t>
  </si>
  <si>
    <t>SM610</t>
  </si>
  <si>
    <t>Makarim Abdulqader Ibrahim Salameh</t>
  </si>
  <si>
    <t>My Bicycle</t>
  </si>
  <si>
    <t>0779037027</t>
  </si>
  <si>
    <t>makarmalmusri1993@gmail.com</t>
  </si>
  <si>
    <t>SM613</t>
  </si>
  <si>
    <t>Omar Khaled Hamed Al-Zubaidi</t>
  </si>
  <si>
    <t>Sawti Media Platform</t>
  </si>
  <si>
    <t>0791598140</t>
  </si>
  <si>
    <t>SM614</t>
  </si>
  <si>
    <t>Ali Abd Al-Hassan</t>
  </si>
  <si>
    <t>Building Qasouh and Tiles</t>
  </si>
  <si>
    <t>0776329430</t>
  </si>
  <si>
    <t>0795960525</t>
  </si>
  <si>
    <t>lyqrqwr36@gmail.com</t>
  </si>
  <si>
    <t>SM615</t>
  </si>
  <si>
    <t>Maher Shaker Hussein Adamat</t>
  </si>
  <si>
    <t>Alban Wajban</t>
  </si>
  <si>
    <t>0775613411</t>
  </si>
  <si>
    <t>SM616</t>
  </si>
  <si>
    <t>Milad Abdulmoula Al-Sayed</t>
  </si>
  <si>
    <t>Foxy</t>
  </si>
  <si>
    <t>0775308105</t>
  </si>
  <si>
    <t>meeemeeem75@gmail.com</t>
  </si>
  <si>
    <t>SM617</t>
  </si>
  <si>
    <t>Abdulghani Hani Salem Bani Hamdan</t>
  </si>
  <si>
    <t>0771427135</t>
  </si>
  <si>
    <t>0778713713</t>
  </si>
  <si>
    <t>cgfgyfhhu@gmail.com</t>
  </si>
  <si>
    <t>SM618</t>
  </si>
  <si>
    <t>Alaa Walid Abdulghafour Freihat</t>
  </si>
  <si>
    <t>Supermarket</t>
  </si>
  <si>
    <t>07768622212</t>
  </si>
  <si>
    <t>0776864612</t>
  </si>
  <si>
    <t>alawaled4@gmail.com</t>
  </si>
  <si>
    <t>SM619</t>
  </si>
  <si>
    <t>Saad Al-Din Al-Shazli Mohammad Hamdan</t>
  </si>
  <si>
    <t>Home Gardening</t>
  </si>
  <si>
    <t>0775991289</t>
  </si>
  <si>
    <t>0776494957</t>
  </si>
  <si>
    <t>saadaldeenhamdan2893@gmail.com</t>
  </si>
  <si>
    <t>SM620</t>
  </si>
  <si>
    <t>Reem Mohammad Ahmed Al-Ammour</t>
  </si>
  <si>
    <t>Children’s Nursery</t>
  </si>
  <si>
    <t>0776308408</t>
  </si>
  <si>
    <t>Ayasrahreem538@gmail.com</t>
  </si>
  <si>
    <t>SM621</t>
  </si>
  <si>
    <t>Nasrah Salameh Ahmed Abu Mweis</t>
  </si>
  <si>
    <t>Women’s Party Dress Rental</t>
  </si>
  <si>
    <t>0796062765</t>
  </si>
  <si>
    <t>0780530459</t>
  </si>
  <si>
    <t>nsrhabwmwys@gmail.com</t>
  </si>
  <si>
    <t>SM622</t>
  </si>
  <si>
    <t>Nariman Awad Al-Waqfi</t>
  </si>
  <si>
    <t>Nariman Handicrafts</t>
  </si>
  <si>
    <t>0791321164</t>
  </si>
  <si>
    <t>nooralmarazeeq@gmail.com</t>
  </si>
  <si>
    <t>SM623</t>
  </si>
  <si>
    <t>Esraa Mowaffaq Taysir Al-Marazeq</t>
  </si>
  <si>
    <t>Accessories</t>
  </si>
  <si>
    <t>0779589551</t>
  </si>
  <si>
    <t>SM624</t>
  </si>
  <si>
    <t>Alia Ahmed Mahmoud Al-Dbeisah</t>
  </si>
  <si>
    <t>Hamouda for Cheese and Dairy</t>
  </si>
  <si>
    <t>0777493109</t>
  </si>
  <si>
    <t>0772175338</t>
  </si>
  <si>
    <t>SM644</t>
  </si>
  <si>
    <t>IC-ID-K-27 / JordanTech</t>
  </si>
  <si>
    <t>mohamad riyad alhasanat</t>
  </si>
  <si>
    <t>mohamadriyad204@gmail.com</t>
  </si>
  <si>
    <t>SM652</t>
  </si>
  <si>
    <t>Ideate to Innovate North</t>
  </si>
  <si>
    <t>Aseel Mohammad Al-Harahsheh</t>
  </si>
  <si>
    <t>Zaraatuk</t>
  </si>
  <si>
    <t>0772165433</t>
  </si>
  <si>
    <t>aseellm767@gmail.com</t>
  </si>
  <si>
    <t>SM654</t>
  </si>
  <si>
    <t>Sara Sami Hussein Abu Jabal</t>
  </si>
  <si>
    <t>Sara Plant</t>
  </si>
  <si>
    <t>0786263158</t>
  </si>
  <si>
    <t>0788494878</t>
  </si>
  <si>
    <t>Samyabwjbl@gmail.com</t>
  </si>
  <si>
    <t>SM655</t>
  </si>
  <si>
    <t>Omar Idris Abdul Ghani Al-Muhtaseb</t>
  </si>
  <si>
    <t>W-Cope</t>
  </si>
  <si>
    <t>0798065607</t>
  </si>
  <si>
    <t>0796433082</t>
  </si>
  <si>
    <t>omar3044idrees@gmail.com</t>
  </si>
  <si>
    <t>SM656</t>
  </si>
  <si>
    <t>Ghalia Hussein Hassan Al-Sharafat</t>
  </si>
  <si>
    <t>Wasalni Bi Aman (Arrive Safely)</t>
  </si>
  <si>
    <t>0790269083</t>
  </si>
  <si>
    <t>0790236160</t>
  </si>
  <si>
    <t>ghalyahalshrfat@gmail.com</t>
  </si>
  <si>
    <t>SM657</t>
  </si>
  <si>
    <t>Shereen Jafari</t>
  </si>
  <si>
    <t>Wingreen</t>
  </si>
  <si>
    <t>0799393071</t>
  </si>
  <si>
    <t>Jafarishereen@gmail.com</t>
  </si>
  <si>
    <t>SM658</t>
  </si>
  <si>
    <t>Sundus Ibrahim Mohammad Al-Shammari</t>
  </si>
  <si>
    <t>Electro-Harvest Energy / Smart Tires</t>
  </si>
  <si>
    <t>0782046550</t>
  </si>
  <si>
    <t>0777771817</t>
  </si>
  <si>
    <t>sondosalshammary40@gmail.com</t>
  </si>
  <si>
    <t>SM659</t>
  </si>
  <si>
    <t>Esraa Ayadeh Kassab Al-Sharafat</t>
  </si>
  <si>
    <t>Hydroponic Agriculture &amp; Italian Herb Blend Production Project</t>
  </si>
  <si>
    <t>0798582981</t>
  </si>
  <si>
    <t>0796290558</t>
  </si>
  <si>
    <t>الهاتف واتساب</t>
  </si>
  <si>
    <t>SM660</t>
  </si>
  <si>
    <t>Abdullah Alkdeem</t>
  </si>
  <si>
    <t>PharmaCharisma</t>
  </si>
  <si>
    <t>0770715373</t>
  </si>
  <si>
    <t>0792308134</t>
  </si>
  <si>
    <t>Abdullah.alkdeem@gmail.com</t>
  </si>
  <si>
    <t>SM661</t>
  </si>
  <si>
    <t>Ideate to Innovate North / PASS</t>
  </si>
  <si>
    <t>Mousa Mohammad Al-Qadri</t>
  </si>
  <si>
    <t>Al-Fatranji Mushroom Farms</t>
  </si>
  <si>
    <t>0775973640</t>
  </si>
  <si>
    <t>Mosaa.qaderi@gmail.com</t>
  </si>
  <si>
    <t>SM662</t>
  </si>
  <si>
    <t>Rabah Rashad Al-Haj Ali</t>
  </si>
  <si>
    <t>Environmental Innovations</t>
  </si>
  <si>
    <t>0799286093</t>
  </si>
  <si>
    <t>0798701136</t>
  </si>
  <si>
    <t>SM663</t>
  </si>
  <si>
    <t>Bsma Deflla Nemer Al-Sardi</t>
  </si>
  <si>
    <t>Ree Smart</t>
  </si>
  <si>
    <t>0775101566</t>
  </si>
  <si>
    <t>heamalsardi1988@gmail.com</t>
  </si>
  <si>
    <t>SM664</t>
  </si>
  <si>
    <t>Abdulrahman Ghali</t>
  </si>
  <si>
    <t>Aman Taxi</t>
  </si>
  <si>
    <t>0786610095</t>
  </si>
  <si>
    <t>078105337</t>
  </si>
  <si>
    <t>abdarhmanghali998@gmail.com</t>
  </si>
  <si>
    <t>SM666</t>
  </si>
  <si>
    <t>Noor Armash Awad Al-Suhaim</t>
  </si>
  <si>
    <t>ZAD Agricultural Solutions</t>
  </si>
  <si>
    <t>0786132868</t>
  </si>
  <si>
    <t>0786312975</t>
  </si>
  <si>
    <t>Noorarmash1993@gmail.com</t>
  </si>
  <si>
    <t>SM667</t>
  </si>
  <si>
    <t>Heba Al-Khrisheh</t>
  </si>
  <si>
    <t>Health Bridge</t>
  </si>
  <si>
    <t>0777822643</t>
  </si>
  <si>
    <t>0778962104</t>
  </si>
  <si>
    <t>anasalshdefat991@gmail.com</t>
  </si>
  <si>
    <t>SM668</t>
  </si>
  <si>
    <t>PwD North / PASS</t>
  </si>
  <si>
    <t>Sufyan Al-Ziyadneh</t>
  </si>
  <si>
    <t>Nature Art – Painting inside glass with colored sand, mosaic art, and wooden sculpture design</t>
  </si>
  <si>
    <t>alzyya1@gmail.com</t>
  </si>
  <si>
    <t>SM671</t>
  </si>
  <si>
    <t>Alhan Ali Khalifa Bani Abdo</t>
  </si>
  <si>
    <t>Sand Rhythm – Sand Art in Glass Bottles</t>
  </si>
  <si>
    <t>alhanbaneabdo@gmail.com</t>
  </si>
  <si>
    <t>SM674</t>
  </si>
  <si>
    <t>Maryam Frihat</t>
  </si>
  <si>
    <t>Beit Jaddi Lodge – Hospitality business providing accommodation, food and drinks, and handicraft activities</t>
  </si>
  <si>
    <t>maryamfrihat1@gmail.com</t>
  </si>
  <si>
    <t>SM675</t>
  </si>
  <si>
    <t>Amer Ahmad Mansour Khawaldeh</t>
  </si>
  <si>
    <t>Al-Amer Kitchen</t>
  </si>
  <si>
    <t>khawaldhamer6@gmail.com</t>
  </si>
  <si>
    <t>SM676</t>
  </si>
  <si>
    <t>Olfat Bani Abdo</t>
  </si>
  <si>
    <t>Bead Sparkle</t>
  </si>
  <si>
    <t>olfatbanyabdo@gmail.com</t>
  </si>
  <si>
    <t>SM677</t>
  </si>
  <si>
    <t>Shahm Muntasir Ali Obeidat</t>
  </si>
  <si>
    <t>Al-Asayel Cartoon Characters</t>
  </si>
  <si>
    <t>0790790710 واتس</t>
  </si>
  <si>
    <t>SM678</t>
  </si>
  <si>
    <t>Najwa Hussein Al-Mohammad</t>
  </si>
  <si>
    <t>Creative Touch Tailoring</t>
  </si>
  <si>
    <t>njwym2815@gmail.com</t>
  </si>
  <si>
    <t>SM681</t>
  </si>
  <si>
    <t>Asmaa Al-Mohammad</t>
  </si>
  <si>
    <t>Ghusn</t>
  </si>
  <si>
    <t>asmaa.almawlly@gmail.com</t>
  </si>
  <si>
    <t>SM682</t>
  </si>
  <si>
    <t>Islam Salem Khalifa Al-Jaraideh</t>
  </si>
  <si>
    <t>Al-Ali Nursery for Vegetables, Herbs, and Off-Season Farming</t>
  </si>
  <si>
    <t>aslamalmshaqbh95@gmail.com</t>
  </si>
  <si>
    <t>SM683</t>
  </si>
  <si>
    <t>Buthaina Ahmad Al-Sari Al-Azmat</t>
  </si>
  <si>
    <t>Learning Difficulties Center</t>
  </si>
  <si>
    <t>buthenaaladmat@gmail.com</t>
  </si>
  <si>
    <t>SM684</t>
  </si>
  <si>
    <t>Inas Ibrahim Tu’ma Alawneh</t>
  </si>
  <si>
    <t>Macramé and Art</t>
  </si>
  <si>
    <t>aynaslawnh3@gmail.com</t>
  </si>
  <si>
    <t>SM688</t>
  </si>
  <si>
    <t>Omar Mohammad Al-Takhayneh</t>
  </si>
  <si>
    <t xml:space="preserve">Rwad Altahdith company </t>
  </si>
  <si>
    <t>+962 7 9713 289</t>
  </si>
  <si>
    <t>omar.muhammadcck@gmail.com</t>
  </si>
  <si>
    <t>SM690</t>
  </si>
  <si>
    <t>Abdullah Attallah Mohammad Al-Shamayleh</t>
  </si>
  <si>
    <t>Zahret Al-Madaen Nursery and Exhibition</t>
  </si>
  <si>
    <t>0799288180</t>
  </si>
  <si>
    <t>0799958431</t>
  </si>
  <si>
    <t>ghfhddahndhf@gmail.com</t>
  </si>
  <si>
    <t>SM691</t>
  </si>
  <si>
    <t>Nahed Abdullah Suleiman Al-Qudah</t>
  </si>
  <si>
    <t>Cosmetic Soap</t>
  </si>
  <si>
    <t>0795729187</t>
  </si>
  <si>
    <t>0797918134</t>
  </si>
  <si>
    <t>nahdn532@gmail.com</t>
  </si>
  <si>
    <t>SM692</t>
  </si>
  <si>
    <t>Nour Mahmoud Al-Dimashqi</t>
  </si>
  <si>
    <t>Future Geniuses Training and Education Center</t>
  </si>
  <si>
    <t>0795412684</t>
  </si>
  <si>
    <t>0798159319</t>
  </si>
  <si>
    <t>noormahmoud10000@gmail.com</t>
  </si>
  <si>
    <t>SM693</t>
  </si>
  <si>
    <t>Fathiyeh Ahmad Suleiman Al-Mleitat</t>
  </si>
  <si>
    <t>Modern Traditional and Heritage Embroidery</t>
  </si>
  <si>
    <t>0791576342</t>
  </si>
  <si>
    <t>0795283731</t>
  </si>
  <si>
    <t>fathia.mletat@yahoo.com</t>
  </si>
  <si>
    <t>SM694</t>
  </si>
  <si>
    <t>Daria Al-Soub</t>
  </si>
  <si>
    <t>Active Learning Center</t>
  </si>
  <si>
    <t>0795874434</t>
  </si>
  <si>
    <t>0796456027</t>
  </si>
  <si>
    <t>enasatefmieth@gmail.com</t>
  </si>
  <si>
    <t>SM695</t>
  </si>
  <si>
    <t>Renta Saad Jameel Al-Salman</t>
  </si>
  <si>
    <t>Sheida for Manufacturing Skincare Products</t>
  </si>
  <si>
    <t>0796750087</t>
  </si>
  <si>
    <t>0796540260</t>
  </si>
  <si>
    <t>r</t>
  </si>
  <si>
    <t>SM696</t>
  </si>
  <si>
    <t>Tahani Al-Amro</t>
  </si>
  <si>
    <t>Medical Baracod</t>
  </si>
  <si>
    <t>0790127151</t>
  </si>
  <si>
    <t>0799191711</t>
  </si>
  <si>
    <t>Tahani.alamer88@gmail.com</t>
  </si>
  <si>
    <t>SM698</t>
  </si>
  <si>
    <t>Nevin Yaseen Mahmoud Al-Qudah</t>
  </si>
  <si>
    <t>Touska</t>
  </si>
  <si>
    <t>0792878922</t>
  </si>
  <si>
    <t>0772039438</t>
  </si>
  <si>
    <t>nevenyaseen67@gmail.com</t>
  </si>
  <si>
    <t>SM700</t>
  </si>
  <si>
    <t>Alaa Al-Halabi</t>
  </si>
  <si>
    <t>Alaa'gifts</t>
  </si>
  <si>
    <t>0796597977</t>
  </si>
  <si>
    <t>0798586381</t>
  </si>
  <si>
    <t>Alaalhalbi1990@yahoo.com</t>
  </si>
  <si>
    <t>SM701</t>
  </si>
  <si>
    <t>Rou'a Ladi</t>
  </si>
  <si>
    <t>Roastery Shop for Nuts, Savory Snacks, Chocolate, Candy and Sweets</t>
  </si>
  <si>
    <t>0798354881</t>
  </si>
  <si>
    <t>لايوجد</t>
  </si>
  <si>
    <t>SM702</t>
  </si>
  <si>
    <t>Adan Samih Khazer Al-Majali</t>
  </si>
  <si>
    <t>Sihr Al-Tabeea (Magic of Nature)</t>
  </si>
  <si>
    <t>0790298531</t>
  </si>
  <si>
    <t>0795220185</t>
  </si>
  <si>
    <t>almjalyhdn@gmail.com</t>
  </si>
  <si>
    <t>SM706</t>
  </si>
  <si>
    <t>Wafeeqa Abdullah Saleem Abdullah</t>
  </si>
  <si>
    <t>Qissat Hirfa (Craft Story)</t>
  </si>
  <si>
    <t>0775752852</t>
  </si>
  <si>
    <t>omahmadalhamad382@gmail.com</t>
  </si>
  <si>
    <t>SM707</t>
  </si>
  <si>
    <t>Raya Mohammad Saleem Al-Jaraideh</t>
  </si>
  <si>
    <t>ALRAYA FARM</t>
  </si>
  <si>
    <t>0770233608</t>
  </si>
  <si>
    <t>0772085889</t>
  </si>
  <si>
    <t>rayahm537@gmail.com</t>
  </si>
  <si>
    <t>SM714</t>
  </si>
  <si>
    <t>Amal Tawfiq Mahmoud Ababneh</t>
  </si>
  <si>
    <t>Amal Ababneh for Home Plumbing Maintenance</t>
  </si>
  <si>
    <t>0781558420</t>
  </si>
  <si>
    <t>0775664382</t>
  </si>
  <si>
    <t>ababnehmorad79@gmail.com</t>
  </si>
  <si>
    <t>SM716</t>
  </si>
  <si>
    <t>Sahar Farhan Hamed Ammoush</t>
  </si>
  <si>
    <t>Ejada for Empowering Women and Youth in Professional and Technical Skills</t>
  </si>
  <si>
    <t>0779155788</t>
  </si>
  <si>
    <t>0776537220</t>
  </si>
  <si>
    <t>saharomoush53@gmail.com</t>
  </si>
  <si>
    <t>SM719</t>
  </si>
  <si>
    <t>Reema Aayed Juma'a Al-Sharaf</t>
  </si>
  <si>
    <t>Abq Al-Firdaws (Scent of Paradise)</t>
  </si>
  <si>
    <t>0770140012</t>
  </si>
  <si>
    <t>reena.xd@hotmail.com</t>
  </si>
  <si>
    <t>SM720</t>
  </si>
  <si>
    <t>Hanan Barakat Khalaf Al-Nawaiseh</t>
  </si>
  <si>
    <t>Vegetable and Fruit Drying</t>
  </si>
  <si>
    <t>0798310075</t>
  </si>
  <si>
    <t>0796731200</t>
  </si>
  <si>
    <t>hanan69n@gmail.com</t>
  </si>
  <si>
    <t>SM722</t>
  </si>
  <si>
    <t>Ibrahim Khaled Al-Zaydanin</t>
  </si>
  <si>
    <t>0785896974</t>
  </si>
  <si>
    <t>0778968443</t>
  </si>
  <si>
    <t>alzadaneenabrahem@gmail.com</t>
  </si>
  <si>
    <t>SM724</t>
  </si>
  <si>
    <t>Ihab Ismael Al-Samadi</t>
  </si>
  <si>
    <t>Crownstone Desert Camp</t>
  </si>
  <si>
    <t>0777566969</t>
  </si>
  <si>
    <t>ihabalsmadi@gmail.com</t>
  </si>
  <si>
    <t>SM725</t>
  </si>
  <si>
    <t>Amneh Ali Fahd Al-Shalabi</t>
  </si>
  <si>
    <t>Handmadespot</t>
  </si>
  <si>
    <t>0795444158</t>
  </si>
  <si>
    <t>0792678276</t>
  </si>
  <si>
    <t>emanshalabi092@gmail.com</t>
  </si>
  <si>
    <t>SM726</t>
  </si>
  <si>
    <t>Khairy Jalal Lotfi Saqer</t>
  </si>
  <si>
    <t>Ain Al-Bahr SEAI</t>
  </si>
  <si>
    <t>0797200053</t>
  </si>
  <si>
    <t>khairy00saqer@gmail.com</t>
  </si>
  <si>
    <t>SM729</t>
  </si>
  <si>
    <t>Abdallah Hisham Ayoub Mousa</t>
  </si>
  <si>
    <t>0795080085</t>
  </si>
  <si>
    <t>0779245780</t>
  </si>
  <si>
    <t>2abdallah.musa3@gmail.com</t>
  </si>
  <si>
    <t>SM731</t>
  </si>
  <si>
    <t>Omar Abdeen</t>
  </si>
  <si>
    <t>Shapes and Colours for 3D Printing</t>
  </si>
  <si>
    <t>0790424545</t>
  </si>
  <si>
    <t>omar.abdeen@gmail.com</t>
  </si>
  <si>
    <t>SM733</t>
  </si>
  <si>
    <t>Enas Hassan Mohammad Al-Sumairan</t>
  </si>
  <si>
    <t>Heritage Guest House</t>
  </si>
  <si>
    <t>0777141583</t>
  </si>
  <si>
    <t>aenasassmiran@gimal.com</t>
  </si>
  <si>
    <t>SM735</t>
  </si>
  <si>
    <t>Baraa Hikmat Ahmad Muqabaleh</t>
  </si>
  <si>
    <t>VIVA COSMETICS</t>
  </si>
  <si>
    <t>+٩٦٢٧٩٠٤٩٨٩٦٢</t>
  </si>
  <si>
    <t>baraatube962@gmail.com</t>
  </si>
  <si>
    <t>SM737</t>
  </si>
  <si>
    <t>Majed Alkhateeb</t>
  </si>
  <si>
    <t>Soqia for Innovative Environmental Solutions</t>
  </si>
  <si>
    <t>0786668371</t>
  </si>
  <si>
    <t>infosoqia@gmail.com</t>
  </si>
  <si>
    <t>SM738</t>
  </si>
  <si>
    <t>Sewar Mahmoud Ahmed ayadeh</t>
  </si>
  <si>
    <t>American sewar academy for programming and engineering</t>
  </si>
  <si>
    <t>0770715872</t>
  </si>
  <si>
    <t>0772251668</t>
  </si>
  <si>
    <t>sewar2872003@gmail.com</t>
  </si>
  <si>
    <t>SM739</t>
  </si>
  <si>
    <t>Reem Salem</t>
  </si>
  <si>
    <t>Reem for Heritage Embroidery</t>
  </si>
  <si>
    <t>0785190554</t>
  </si>
  <si>
    <t>salemreem016@gmail.com</t>
  </si>
  <si>
    <t>SM740</t>
  </si>
  <si>
    <t>Mohammad Ahmad Mahmoud Darwish</t>
  </si>
  <si>
    <t>kafbookshop</t>
  </si>
  <si>
    <t>0788006084</t>
  </si>
  <si>
    <t>Mr.darwish91@gmail.com</t>
  </si>
  <si>
    <t>SM742</t>
  </si>
  <si>
    <t>Ayat Mousa Khaled</t>
  </si>
  <si>
    <t>Ayat Cake Habba Helwa</t>
  </si>
  <si>
    <t>0787790323</t>
  </si>
  <si>
    <t>Ayatm7167@gmail.com</t>
  </si>
  <si>
    <t>SM743</t>
  </si>
  <si>
    <t>Wasan Yacoub</t>
  </si>
  <si>
    <t>0790364468</t>
  </si>
  <si>
    <t>wasanismaeel05@gmail.com</t>
  </si>
  <si>
    <t>SM744</t>
  </si>
  <si>
    <t>Asmaa Ahed Mohammad Abu Al-Teen</t>
  </si>
  <si>
    <t>Taboun Sharqi Kitchen</t>
  </si>
  <si>
    <t>0795876738</t>
  </si>
  <si>
    <t>0772103284</t>
  </si>
  <si>
    <t>abwaltynasma@gmail.com</t>
  </si>
  <si>
    <t>SM745</t>
  </si>
  <si>
    <t>Sawsan Ismail Al-Ghouthani</t>
  </si>
  <si>
    <t>MedHerb</t>
  </si>
  <si>
    <t>0781532124</t>
  </si>
  <si>
    <t>0790184482</t>
  </si>
  <si>
    <t>sawsanismail44@gmail.com</t>
  </si>
  <si>
    <t>SM746</t>
  </si>
  <si>
    <t>Manar Ammourah</t>
  </si>
  <si>
    <t>SARD</t>
  </si>
  <si>
    <t>0782459492</t>
  </si>
  <si>
    <t>Manarammourah@gmail.com</t>
  </si>
  <si>
    <t>SM747</t>
  </si>
  <si>
    <t>Dhabia Khaled Ali Al-Ghazawi</t>
  </si>
  <si>
    <t>Basmat Al-Khair Production Kitchen</t>
  </si>
  <si>
    <t>0786432554</t>
  </si>
  <si>
    <t>0789557557</t>
  </si>
  <si>
    <t>umhamadghazzawi@gmail.com</t>
  </si>
  <si>
    <t>SM748</t>
  </si>
  <si>
    <t>Wesam Ahmad Al-Husban</t>
  </si>
  <si>
    <t>Afwaj Academy</t>
  </si>
  <si>
    <t>0772124863</t>
  </si>
  <si>
    <t>0778778382</t>
  </si>
  <si>
    <t>wesamahmad1985@yahoo.com</t>
  </si>
  <si>
    <t>SM749</t>
  </si>
  <si>
    <t>Abdulrahman Khaled Maghaireh</t>
  </si>
  <si>
    <t>Oqdah Legal Platform</t>
  </si>
  <si>
    <t>0776469226</t>
  </si>
  <si>
    <t>aboodmaghaireh2002@gmail.com</t>
  </si>
  <si>
    <t>SM751</t>
  </si>
  <si>
    <t>Ola Saud Fadel Abu Rabee'</t>
  </si>
  <si>
    <t>Sultanat Hadab for Jordanian Heritage</t>
  </si>
  <si>
    <t>0798632965</t>
  </si>
  <si>
    <t>olaaborabei@gmail.com</t>
  </si>
  <si>
    <t>SM752</t>
  </si>
  <si>
    <t>Rehab Ali Saleem Abu Al-Kursneh</t>
  </si>
  <si>
    <t>Havana Fashion House for Elegance</t>
  </si>
  <si>
    <t>0786004667</t>
  </si>
  <si>
    <t>SM753</t>
  </si>
  <si>
    <t>Ghalia Ababneh</t>
  </si>
  <si>
    <t>Coloured Heritage with Threads of the Past and Present</t>
  </si>
  <si>
    <t>0777349551</t>
  </si>
  <si>
    <t>0779399356</t>
  </si>
  <si>
    <t>ghalyakasem021@gmail.com</t>
  </si>
  <si>
    <t>SM754</t>
  </si>
  <si>
    <t>Batool Abdullah Awad Al-Khazali</t>
  </si>
  <si>
    <t>0787749315</t>
  </si>
  <si>
    <t>0799031633</t>
  </si>
  <si>
    <t>toto1990mb@gmail.com</t>
  </si>
  <si>
    <t>SM755</t>
  </si>
  <si>
    <t>PASS South JordanTech</t>
  </si>
  <si>
    <t>Haitham Shlool</t>
  </si>
  <si>
    <t>٠٧٧٧٥٤١٦٦٣</t>
  </si>
  <si>
    <t>haithamfiras80@gmail.com</t>
  </si>
  <si>
    <t>SM762</t>
  </si>
  <si>
    <t>Rasha Khaled Jadou Al-Lasasmeh</t>
  </si>
  <si>
    <t>A To Z Marketing</t>
  </si>
  <si>
    <t>0791535899</t>
  </si>
  <si>
    <t>0791732823</t>
  </si>
  <si>
    <t>rashaalhamaedeh@gmail.com</t>
  </si>
  <si>
    <t>SM766</t>
  </si>
  <si>
    <t>Seema Azzam</t>
  </si>
  <si>
    <t>Genskin Mobile Application</t>
  </si>
  <si>
    <t>0797186859</t>
  </si>
  <si>
    <t>seemaazzam1996@gmail.com</t>
  </si>
  <si>
    <t>SM767</t>
  </si>
  <si>
    <t>Haneen Albtoosh</t>
  </si>
  <si>
    <t>The Civil Mind</t>
  </si>
  <si>
    <t>0777515408</t>
  </si>
  <si>
    <t>haneenbtoosh746@yahoo.com</t>
  </si>
  <si>
    <t>SM768</t>
  </si>
  <si>
    <t>Fatima Salhab</t>
  </si>
  <si>
    <t>Hue studi</t>
  </si>
  <si>
    <t>+962 7 9918 1242</t>
  </si>
  <si>
    <t>halao247@gmail.com</t>
  </si>
  <si>
    <t>SM770</t>
  </si>
  <si>
    <t>Ishtian Al-Madadheh</t>
  </si>
  <si>
    <t>The old house</t>
  </si>
  <si>
    <t>٠٧٩٥١٧٠٢٠١</t>
  </si>
  <si>
    <t>٠٧٩٨٣٥٤٤٢٨</t>
  </si>
  <si>
    <t>ashteianmadadha87@gmail.com</t>
  </si>
  <si>
    <t>SM771</t>
  </si>
  <si>
    <t>Eid Suleiman Ouda Al-Ahyeiwat</t>
  </si>
  <si>
    <t>Aqaba Shore Diving and Training Academy</t>
  </si>
  <si>
    <t>0795104050</t>
  </si>
  <si>
    <t>eid_sea@yahoo.com</t>
  </si>
  <si>
    <t>SM786</t>
  </si>
  <si>
    <t>Buran Abu Affar</t>
  </si>
  <si>
    <t>Alice for Educational Consultations</t>
  </si>
  <si>
    <t>0790193221</t>
  </si>
  <si>
    <t>0777525980</t>
  </si>
  <si>
    <t>affarbouran@gmail.com</t>
  </si>
  <si>
    <t>SM791</t>
  </si>
  <si>
    <t>Sinaa Eid Abdul Hamid Frihat</t>
  </si>
  <si>
    <t>Orchid for Handicrafts</t>
  </si>
  <si>
    <t>0777524544</t>
  </si>
  <si>
    <t>sinafreihat30@gmail.com</t>
  </si>
  <si>
    <t>SM797</t>
  </si>
  <si>
    <t>Ali Mousa Ali Bani Mustafa</t>
  </si>
  <si>
    <t>Vianova Hostel</t>
  </si>
  <si>
    <t>0789417804</t>
  </si>
  <si>
    <t>0776761461</t>
  </si>
  <si>
    <t>vianovahostel@gmail.com</t>
  </si>
  <si>
    <t>SM798</t>
  </si>
  <si>
    <t>Lana Abu Zarqah</t>
  </si>
  <si>
    <t>Lilac Candle</t>
  </si>
  <si>
    <t>0779692212</t>
  </si>
  <si>
    <t>0779943961</t>
  </si>
  <si>
    <t>Lanaabuzarqa34@gmail.com</t>
  </si>
  <si>
    <t>SM799</t>
  </si>
  <si>
    <t>Siraa Sami Suleiman Abu Ghazaleh</t>
  </si>
  <si>
    <t>Farah Stitch for Hand Embroidery</t>
  </si>
  <si>
    <t>0786221067</t>
  </si>
  <si>
    <t>0772434790</t>
  </si>
  <si>
    <t>samisera68@gmail.com</t>
  </si>
  <si>
    <t>SM803</t>
  </si>
  <si>
    <t>Suad Aqleh Hassan Al-Nizami</t>
  </si>
  <si>
    <t>Jerash Bite</t>
  </si>
  <si>
    <t>0772339116</t>
  </si>
  <si>
    <t>0772339115</t>
  </si>
  <si>
    <t>suad@1977</t>
  </si>
  <si>
    <t>SM806</t>
  </si>
  <si>
    <t>Jumana Fathi Lotfi Mustafa Al-Hamarshah</t>
  </si>
  <si>
    <t>Qanwan</t>
  </si>
  <si>
    <t>0799709407</t>
  </si>
  <si>
    <t>0777536560</t>
  </si>
  <si>
    <t>Jumana75alhamarsheh@gmail.com</t>
  </si>
  <si>
    <t>SM808</t>
  </si>
  <si>
    <t>Anas Abu Khalaf</t>
  </si>
  <si>
    <t>0796433982</t>
  </si>
  <si>
    <t>anas.ak8787@gmail.com</t>
  </si>
  <si>
    <t>SM809</t>
  </si>
  <si>
    <t>Moath Mohammad Nasr Al-Hassan</t>
  </si>
  <si>
    <t>snairo by santos</t>
  </si>
  <si>
    <t>0779335384</t>
  </si>
  <si>
    <t>0782396093</t>
  </si>
  <si>
    <t>madhaljmal035@gmail.com</t>
  </si>
  <si>
    <t>SM810</t>
  </si>
  <si>
    <t>Kamal AlHersh</t>
  </si>
  <si>
    <t>Daamij</t>
  </si>
  <si>
    <t>00962792541994</t>
  </si>
  <si>
    <t>kamalalhersh@gmail.com</t>
  </si>
  <si>
    <t>SM812</t>
  </si>
  <si>
    <t>Salah Nasri Saud</t>
  </si>
  <si>
    <t>0791179118</t>
  </si>
  <si>
    <t>0798705998</t>
  </si>
  <si>
    <t>Salahsaud@gmail.com</t>
  </si>
  <si>
    <t>SM813</t>
  </si>
  <si>
    <t>Mohamad Abu Aloul</t>
  </si>
  <si>
    <t>0790176886</t>
  </si>
  <si>
    <t>0799730605</t>
  </si>
  <si>
    <t>sales@era-data.com</t>
  </si>
  <si>
    <t>SM814</t>
  </si>
  <si>
    <t>Yousef AlZiwary</t>
  </si>
  <si>
    <t>JoVenture</t>
  </si>
  <si>
    <t>0777780658</t>
  </si>
  <si>
    <t>yziwary@gmail.com</t>
  </si>
  <si>
    <t>SM815</t>
  </si>
  <si>
    <t>Alaa Abdulrahman Mustafa Subh</t>
  </si>
  <si>
    <t>Ideal Steps Project Management Services Establishment</t>
  </si>
  <si>
    <t>0799140160</t>
  </si>
  <si>
    <t>0796495955</t>
  </si>
  <si>
    <t>a.sobeh@ideal-steps.com</t>
  </si>
  <si>
    <t>SM817</t>
  </si>
  <si>
    <t>Farah Shafeeq Izzat Al-Naimat</t>
  </si>
  <si>
    <t>Comprehensive Agricultural Center</t>
  </si>
  <si>
    <t>0792566266</t>
  </si>
  <si>
    <t>0796341324</t>
  </si>
  <si>
    <t>Cac.ifs1@gmail.com</t>
  </si>
  <si>
    <t>SM818</t>
  </si>
  <si>
    <t>Maysam Nasser Abu Sharar</t>
  </si>
  <si>
    <t>Sun Glow Team for Theatrical and Folkloric Arts</t>
  </si>
  <si>
    <t>0796507718</t>
  </si>
  <si>
    <t>shamstaem25@gmail.com</t>
  </si>
  <si>
    <t>SM819</t>
  </si>
  <si>
    <t>Athra Ahmad Al-Mohammad Al-Ahmad</t>
  </si>
  <si>
    <t>Greenhouse Vegetable Cultivation</t>
  </si>
  <si>
    <t>(0796763756)(0777894619)</t>
  </si>
  <si>
    <t>almwalymar07@gmail.com</t>
  </si>
  <si>
    <t>SM820</t>
  </si>
  <si>
    <t>Rahaf Mashhour Khalaf Al-Bawat</t>
  </si>
  <si>
    <t>Rahaf Fashion</t>
  </si>
  <si>
    <t>0791860120</t>
  </si>
  <si>
    <t>0799542966</t>
  </si>
  <si>
    <t>rahafalbawwat99@gmail.com</t>
  </si>
  <si>
    <t>SM821</t>
  </si>
  <si>
    <t>Saed Issam Bamiyan</t>
  </si>
  <si>
    <t>GGEZ1</t>
  </si>
  <si>
    <t>962777000703</t>
  </si>
  <si>
    <t>bdev@ggez.one</t>
  </si>
  <si>
    <t>SM823</t>
  </si>
  <si>
    <t>Ammar Taha Al-Hnaity</t>
  </si>
  <si>
    <t>LEAN Engineering and Inspection</t>
  </si>
  <si>
    <t>0798466890</t>
  </si>
  <si>
    <t>ammarhnaity32@hotmail.co.uk</t>
  </si>
  <si>
    <t>SM824</t>
  </si>
  <si>
    <t>Lamis Mahmoud Metwally</t>
  </si>
  <si>
    <t>Vitalia</t>
  </si>
  <si>
    <t>0796720119</t>
  </si>
  <si>
    <t>0799208550</t>
  </si>
  <si>
    <t>lameesmitwally@gmail.com</t>
  </si>
  <si>
    <t>SM825</t>
  </si>
  <si>
    <t>Abdallah Mamoon Amer</t>
  </si>
  <si>
    <t>RPM</t>
  </si>
  <si>
    <t>0798183895</t>
  </si>
  <si>
    <t>0799019598</t>
  </si>
  <si>
    <t>abdullahalamer@outlook.com</t>
  </si>
  <si>
    <t>SM826</t>
  </si>
  <si>
    <t>Rana Sami Marai Al-Hifawi</t>
  </si>
  <si>
    <t>Rawnaq Al-Tabeea for Therapeutic Cosmetics Products</t>
  </si>
  <si>
    <t>0785092301</t>
  </si>
  <si>
    <t>0782001658</t>
  </si>
  <si>
    <t>ranasamialhifawi67@gmail.com</t>
  </si>
  <si>
    <t>SM827</t>
  </si>
  <si>
    <t>Eleyan Ibrahim Kharabsheh</t>
  </si>
  <si>
    <t>JoTanks</t>
  </si>
  <si>
    <t>0799520314</t>
  </si>
  <si>
    <t>aleyankh91@gmail.com</t>
  </si>
  <si>
    <t>SM828</t>
  </si>
  <si>
    <t>Sura Abdulrahim Al-Shloul</t>
  </si>
  <si>
    <t>Work Academy</t>
  </si>
  <si>
    <t>0790826368</t>
  </si>
  <si>
    <t>0790766505</t>
  </si>
  <si>
    <t>sura@blackbeltcapital.ca</t>
  </si>
  <si>
    <t>SM829</t>
  </si>
  <si>
    <t>Yasmeen Ismail Farhat Ghaith</t>
  </si>
  <si>
    <t>Digital Solutions</t>
  </si>
  <si>
    <t>00962799350973</t>
  </si>
  <si>
    <t>y.ghaith@dsjo.net</t>
  </si>
  <si>
    <t>SM830</t>
  </si>
  <si>
    <t>Samira Al-Quraini</t>
  </si>
  <si>
    <t>Al-Maryam Cosmetics</t>
  </si>
  <si>
    <t>0796575260</t>
  </si>
  <si>
    <t>0790550842</t>
  </si>
  <si>
    <t>sameraqrene73@gmail.com</t>
  </si>
  <si>
    <t>SM831</t>
  </si>
  <si>
    <t>Faten Tanbour</t>
  </si>
  <si>
    <t>0797533534</t>
  </si>
  <si>
    <t>0779081457</t>
  </si>
  <si>
    <t>marketing@designless.net</t>
  </si>
  <si>
    <t>SM833</t>
  </si>
  <si>
    <t>Maysoun Mohammad Yousef Abdul Aziz</t>
  </si>
  <si>
    <t>Ivana Heritage</t>
  </si>
  <si>
    <t>0772716397</t>
  </si>
  <si>
    <t>0776441190</t>
  </si>
  <si>
    <t>miesonjoda@gmail.com</t>
  </si>
  <si>
    <t>SM834</t>
  </si>
  <si>
    <t>Rasha Mohammad Lotfi Abu Lobah</t>
  </si>
  <si>
    <t>Farmlink</t>
  </si>
  <si>
    <t>00962782183350</t>
  </si>
  <si>
    <t>00962780333831</t>
  </si>
  <si>
    <t>rashalob9@gmail.co</t>
  </si>
  <si>
    <t>SM835</t>
  </si>
  <si>
    <t>Hassan Moh'd Lafi Hasan Odeh</t>
  </si>
  <si>
    <t>Green - Hassan Odeh Establishment for Stone, Marble and Architectural Arts</t>
  </si>
  <si>
    <t>0780066606</t>
  </si>
  <si>
    <t>0788818729</t>
  </si>
  <si>
    <t>hasan07888@gmail.com</t>
  </si>
  <si>
    <t>SM836</t>
  </si>
  <si>
    <t>Zohour Awwad Saqr Mahmoud</t>
  </si>
  <si>
    <t>Flower Touches</t>
  </si>
  <si>
    <t>0795685103</t>
  </si>
  <si>
    <t>0795816013</t>
  </si>
  <si>
    <t>zhoor1994@yahoo.com</t>
  </si>
  <si>
    <t>SM837</t>
  </si>
  <si>
    <t>Sara Ahmad Moh'd Amin Dalal</t>
  </si>
  <si>
    <t>Saray Eco Clay</t>
  </si>
  <si>
    <t>0795627776</t>
  </si>
  <si>
    <t>sdallal85@gmail.com</t>
  </si>
  <si>
    <t>SM838</t>
  </si>
  <si>
    <t>Mahdi Taha Jawdat Ibrahim</t>
  </si>
  <si>
    <t>Software Company</t>
  </si>
  <si>
    <t>0798794251</t>
  </si>
  <si>
    <t>mahdidr72@gmail.com</t>
  </si>
  <si>
    <t>SM839</t>
  </si>
  <si>
    <t>Taghreed Mohammad Qasem Areedah</t>
  </si>
  <si>
    <t>Luckytrees</t>
  </si>
  <si>
    <t>0790809220</t>
  </si>
  <si>
    <t>0778213259</t>
  </si>
  <si>
    <t>shadimouhmad@gmail.com</t>
  </si>
  <si>
    <t>SM840</t>
  </si>
  <si>
    <t>Shahed Ahmad Al-Khatib</t>
  </si>
  <si>
    <t>Labstic | Recycling Studio</t>
  </si>
  <si>
    <t>0799219050</t>
  </si>
  <si>
    <t>shahed.kh2@gmail.com</t>
  </si>
  <si>
    <t>SM841</t>
  </si>
  <si>
    <t>Ibrahim Abdalkreem Al-Ahlas</t>
  </si>
  <si>
    <t>Shay Rahaf</t>
  </si>
  <si>
    <t>0796232715</t>
  </si>
  <si>
    <t>Ibrahimalahlas9@gmail.com</t>
  </si>
  <si>
    <t>SM842</t>
  </si>
  <si>
    <t>Raghad Ahmad Al-Nobani</t>
  </si>
  <si>
    <t>Probreeder</t>
  </si>
  <si>
    <t>0798362614</t>
  </si>
  <si>
    <t>raghadalnobani21@gmail.com</t>
  </si>
  <si>
    <t>SM843</t>
  </si>
  <si>
    <t>Hamsa Ghanem</t>
  </si>
  <si>
    <t>Youniche</t>
  </si>
  <si>
    <t>0795227071</t>
  </si>
  <si>
    <t>07999370009</t>
  </si>
  <si>
    <t>Hamsa@younicheshop.com</t>
  </si>
  <si>
    <t>SM844</t>
  </si>
  <si>
    <t>Sara Elayan</t>
  </si>
  <si>
    <t>Our Smart Environment for Recycling</t>
  </si>
  <si>
    <t>0796673890</t>
  </si>
  <si>
    <t>saraelayan123@gmail.com</t>
  </si>
  <si>
    <t>SM845</t>
  </si>
  <si>
    <t>Majdi Basel AL Mashini</t>
  </si>
  <si>
    <t>ScoutMena</t>
  </si>
  <si>
    <t>00962796511500</t>
  </si>
  <si>
    <t>00962790850621</t>
  </si>
  <si>
    <t>mb76mashini@gmail.com</t>
  </si>
  <si>
    <t>SM846</t>
  </si>
  <si>
    <t>Reem khalid</t>
  </si>
  <si>
    <t>Reem khalid instituton</t>
  </si>
  <si>
    <t>0790235837</t>
  </si>
  <si>
    <t>Reem_horizon@yahoo.com</t>
  </si>
  <si>
    <t>SM847</t>
  </si>
  <si>
    <t>Nawtar Bassam Fawzi Saifan</t>
  </si>
  <si>
    <t>Supportive for pakciging soulution</t>
  </si>
  <si>
    <t>0795819749</t>
  </si>
  <si>
    <t>0777443537</t>
  </si>
  <si>
    <t>Nawar.iseafan@gmail.com</t>
  </si>
  <si>
    <t>SM848</t>
  </si>
  <si>
    <t>mahmoud borhan ali ismadi</t>
  </si>
  <si>
    <t>Tajpay</t>
  </si>
  <si>
    <t>0790091111</t>
  </si>
  <si>
    <t>0791475266</t>
  </si>
  <si>
    <t>mahmoud@tajpay.org</t>
  </si>
  <si>
    <t>SM849</t>
  </si>
  <si>
    <t>Ahmed Badran</t>
  </si>
  <si>
    <t>Mechatronics systems for innovative solutions</t>
  </si>
  <si>
    <t>0777495852</t>
  </si>
  <si>
    <t>Ahmed.Badran@mechatrosystech.com</t>
  </si>
  <si>
    <t>SM850</t>
  </si>
  <si>
    <t>Nabih Mushtaha</t>
  </si>
  <si>
    <t>Environmental Art Foundation</t>
  </si>
  <si>
    <t>0795115773</t>
  </si>
  <si>
    <t>0775115773</t>
  </si>
  <si>
    <t>nabeehmushtaha@gmail.com</t>
  </si>
  <si>
    <t>SM874</t>
  </si>
  <si>
    <t>Raghad Ali Albtoosh</t>
  </si>
  <si>
    <t>Raghad Dantail</t>
  </si>
  <si>
    <t>0795978234</t>
  </si>
  <si>
    <t>0798945934</t>
  </si>
  <si>
    <t>Raghadbtf7@gmail.com</t>
  </si>
  <si>
    <t>SM877</t>
  </si>
  <si>
    <t>Maram Al-Qahawi</t>
  </si>
  <si>
    <t>Robotics lab</t>
  </si>
  <si>
    <t>0793334179</t>
  </si>
  <si>
    <t>0796998362</t>
  </si>
  <si>
    <t>maram@roboticslabs.net</t>
  </si>
  <si>
    <t>SM878</t>
  </si>
  <si>
    <t>Abha Ahmad Alamro</t>
  </si>
  <si>
    <t>Chess Academy</t>
  </si>
  <si>
    <t>00962797984590</t>
  </si>
  <si>
    <t>Zahraaalamro@icloud.com</t>
  </si>
  <si>
    <t>SM879</t>
  </si>
  <si>
    <t>Mona Mahmoud Sayyah</t>
  </si>
  <si>
    <t>Zafraancom</t>
  </si>
  <si>
    <t>0778472931</t>
  </si>
  <si>
    <t>Mnysyah@gmail.com</t>
  </si>
  <si>
    <t>SM880</t>
  </si>
  <si>
    <t>Fast Track/ JordanTech Innovators South</t>
  </si>
  <si>
    <t>Ayat Albadarneh</t>
  </si>
  <si>
    <t>Tarmim for Organic Biofertilizer</t>
  </si>
  <si>
    <t>0798069756</t>
  </si>
  <si>
    <t>ayatalbadarneh@gmail.com</t>
  </si>
  <si>
    <t>SM881</t>
  </si>
  <si>
    <t>Shahd Ahmad Abdulrahman Nassar</t>
  </si>
  <si>
    <t>Imdaa Ecosystem</t>
  </si>
  <si>
    <t>0795078548</t>
  </si>
  <si>
    <t>shahednassar81@gmail.com</t>
  </si>
  <si>
    <t>SM882</t>
  </si>
  <si>
    <t>Hasan Khaled Al-Bzoor</t>
  </si>
  <si>
    <t>iCODE</t>
  </si>
  <si>
    <t>0786904377</t>
  </si>
  <si>
    <t>hkalbzoor@just.edu.jo</t>
  </si>
  <si>
    <t>SM883</t>
  </si>
  <si>
    <t>Zaid Mohammad Ahmad Alshobaki</t>
  </si>
  <si>
    <t>+962781165186</t>
  </si>
  <si>
    <t>+962777661106</t>
  </si>
  <si>
    <t>zaidalshobaki05@gmail.com</t>
  </si>
  <si>
    <t>SM884</t>
  </si>
  <si>
    <t>Mohammad Mustafa Al-mokdad</t>
  </si>
  <si>
    <t>DeepFake</t>
  </si>
  <si>
    <t>0790249650</t>
  </si>
  <si>
    <t>0775908864</t>
  </si>
  <si>
    <t>mohamaalmokdad@gmail.com</t>
  </si>
  <si>
    <t>SM885</t>
  </si>
  <si>
    <t>Mohammad Jamhour</t>
  </si>
  <si>
    <t>ElegoSys (AI-Powered Arabic Language Tutor for Autistic Children)</t>
  </si>
  <si>
    <t>0775834561</t>
  </si>
  <si>
    <t>mrjamhour8@gmail.com</t>
  </si>
  <si>
    <t>SM886</t>
  </si>
  <si>
    <t>Dr. Salim Issa Salim Al-Zoubi</t>
  </si>
  <si>
    <t>HydroTrack AI</t>
  </si>
  <si>
    <t>0796424225</t>
  </si>
  <si>
    <t>0782865913</t>
  </si>
  <si>
    <t>sa.alzoubi@jadara.edu.jo</t>
  </si>
  <si>
    <t>SM887</t>
  </si>
  <si>
    <t>Eyad Falah Al-Naimi</t>
  </si>
  <si>
    <t>Wassetna</t>
  </si>
  <si>
    <t>0782608645</t>
  </si>
  <si>
    <t>efalnaimi22@gmail.com</t>
  </si>
  <si>
    <t>SM888</t>
  </si>
  <si>
    <t>Bashar Khaled Mohammad Alshami</t>
  </si>
  <si>
    <t>Laserlink</t>
  </si>
  <si>
    <t>0796231871</t>
  </si>
  <si>
    <t>alshamibashar51@gmail.com</t>
  </si>
  <si>
    <t>SM892</t>
  </si>
  <si>
    <t>Rula Mohammad Hussein Aloqaili</t>
  </si>
  <si>
    <t>OSHA Filters for Water Reclamation</t>
  </si>
  <si>
    <t>+962790837745</t>
  </si>
  <si>
    <t>rula.aloqaili@gmail.com</t>
  </si>
  <si>
    <t>SM893</t>
  </si>
  <si>
    <t>Rana Hassan Yousef Qandil</t>
  </si>
  <si>
    <t>APSOL Platform</t>
  </si>
  <si>
    <t>00962795737984</t>
  </si>
  <si>
    <t>ranakand@yu.edu.jo</t>
  </si>
  <si>
    <t>SM896</t>
  </si>
  <si>
    <t>Mariam Akram Tubaishat</t>
  </si>
  <si>
    <t>TES</t>
  </si>
  <si>
    <t>0790214763</t>
  </si>
  <si>
    <t>0786394811</t>
  </si>
  <si>
    <t>mariamtobaishat2003@gmail.com</t>
  </si>
  <si>
    <t>SM898</t>
  </si>
  <si>
    <t>Jana Al Abed</t>
  </si>
  <si>
    <t>MARE</t>
  </si>
  <si>
    <t>0795862195</t>
  </si>
  <si>
    <t>jana.alabed03@gmail.com</t>
  </si>
  <si>
    <t>SM899</t>
  </si>
  <si>
    <t>Dunia Abuallan</t>
  </si>
  <si>
    <t>SignTour App</t>
  </si>
  <si>
    <t>0775767910</t>
  </si>
  <si>
    <t>0772270755</t>
  </si>
  <si>
    <t>duniaabuallan@gmail.com</t>
  </si>
  <si>
    <t>SM901</t>
  </si>
  <si>
    <t>Mohammad Alhato</t>
  </si>
  <si>
    <t>OPBT</t>
  </si>
  <si>
    <t>+962790217260</t>
  </si>
  <si>
    <t>mohammadalhato61@gmail.com</t>
  </si>
  <si>
    <t>SM902</t>
  </si>
  <si>
    <t>Mohammad Ayash</t>
  </si>
  <si>
    <t>+962799436409</t>
  </si>
  <si>
    <t>ayyash91mohammad@gmail.com</t>
  </si>
  <si>
    <t>SM903</t>
  </si>
  <si>
    <t>ghaith al shishani</t>
  </si>
  <si>
    <t>Nexus Nature</t>
  </si>
  <si>
    <t>0786069091</t>
  </si>
  <si>
    <t>ghaith.alshishani@gju.edu.jo</t>
  </si>
  <si>
    <t>SM904</t>
  </si>
  <si>
    <t>Ruba Elias Khnouf</t>
  </si>
  <si>
    <t>+962799313236</t>
  </si>
  <si>
    <t>rekhnouf@just.edu.jo</t>
  </si>
  <si>
    <t>SM905</t>
  </si>
  <si>
    <t>Mustafa ibrahim munazzel Shdaifat</t>
  </si>
  <si>
    <t>0790355261</t>
  </si>
  <si>
    <t>mustafaalshdaifat@yahoo.com</t>
  </si>
  <si>
    <t>Email</t>
  </si>
  <si>
    <t>First Name</t>
  </si>
  <si>
    <t>Last Name</t>
  </si>
  <si>
    <t>Organization Name</t>
  </si>
  <si>
    <t>Phone</t>
  </si>
  <si>
    <t>Gender</t>
  </si>
  <si>
    <t>Age Range</t>
  </si>
  <si>
    <t>City</t>
  </si>
  <si>
    <t>ghaleb.alsalous@giz.de</t>
  </si>
  <si>
    <t>Ghaleb</t>
  </si>
  <si>
    <t>Salous</t>
  </si>
  <si>
    <t xml:space="preserve">+96288858882 </t>
  </si>
  <si>
    <t>areen.khraisat@giz.de</t>
  </si>
  <si>
    <t>Areen</t>
  </si>
  <si>
    <t>Khraisat</t>
  </si>
  <si>
    <t xml:space="preserve">+962775102717 </t>
  </si>
  <si>
    <t>ruba.jayyousi@giz.de</t>
  </si>
  <si>
    <t>Ruba</t>
  </si>
  <si>
    <t>Jayyousi</t>
  </si>
  <si>
    <t xml:space="preserve">+96277616209 </t>
  </si>
  <si>
    <t>roaa.aljafari@giz.de</t>
  </si>
  <si>
    <t>Rouaa</t>
  </si>
  <si>
    <t>Al-Jafari</t>
  </si>
  <si>
    <t xml:space="preserve">+962795565087 </t>
  </si>
  <si>
    <t>registered</t>
  </si>
  <si>
    <t>abdalkarem.alsallal@giz.de</t>
  </si>
  <si>
    <t>Kareem</t>
  </si>
  <si>
    <t>Al-Sallal</t>
  </si>
  <si>
    <t xml:space="preserve">+962797176767 </t>
  </si>
  <si>
    <t>Suad</t>
  </si>
  <si>
    <t>Alkhateeb</t>
  </si>
  <si>
    <t>بيت ريف جرش</t>
  </si>
  <si>
    <t xml:space="preserve">+962787548445 </t>
  </si>
  <si>
    <t>رفا</t>
  </si>
  <si>
    <t>مصطفى</t>
  </si>
  <si>
    <t>اكاديمية القيصر</t>
  </si>
  <si>
    <t xml:space="preserve">+9627901576 </t>
  </si>
  <si>
    <t>marahalqaraleh@gmail.com</t>
  </si>
  <si>
    <t>Marah</t>
  </si>
  <si>
    <t>Qaraleh</t>
  </si>
  <si>
    <t xml:space="preserve">+962770577771 </t>
  </si>
  <si>
    <t>atakhaineh@gmail.com</t>
  </si>
  <si>
    <t>Abdulrahman</t>
  </si>
  <si>
    <t>Takhainah</t>
  </si>
  <si>
    <t>Warshah</t>
  </si>
  <si>
    <t xml:space="preserve">+962791522070 </t>
  </si>
  <si>
    <t>khalid00@kasselsoft.com</t>
  </si>
  <si>
    <t>Khalid</t>
  </si>
  <si>
    <t>Naser</t>
  </si>
  <si>
    <t>kasselsoft</t>
  </si>
  <si>
    <t xml:space="preserve">+962790025554 </t>
  </si>
  <si>
    <t>Tamadur</t>
  </si>
  <si>
    <t>Harahsheh</t>
  </si>
  <si>
    <t>TAMADUR HARAHSHEH SHOP FOR ORNAMENTAL PLANTS</t>
  </si>
  <si>
    <t xml:space="preserve">+962778274250 </t>
  </si>
  <si>
    <t>Abd</t>
  </si>
  <si>
    <t>Alhrsh</t>
  </si>
  <si>
    <t>Aqaba gate for waste recycling</t>
  </si>
  <si>
    <t xml:space="preserve">+962798572113 </t>
  </si>
  <si>
    <t>دعاء</t>
  </si>
  <si>
    <t>المساعيد</t>
  </si>
  <si>
    <t xml:space="preserve">+791726605 </t>
  </si>
  <si>
    <t>sobeh.ce@gmail.com</t>
  </si>
  <si>
    <t>Alaa</t>
  </si>
  <si>
    <t>Sobeh</t>
  </si>
  <si>
    <t xml:space="preserve">+96299140160 </t>
  </si>
  <si>
    <t>suzanomari@glowybymarmalade.com</t>
  </si>
  <si>
    <t>Suzan</t>
  </si>
  <si>
    <t>ALomari</t>
  </si>
  <si>
    <t xml:space="preserve">+962776751079 </t>
  </si>
  <si>
    <t>Dr.Haitham</t>
  </si>
  <si>
    <t>shlool</t>
  </si>
  <si>
    <t xml:space="preserve">+9620777541663 </t>
  </si>
  <si>
    <t>batoolamajed@gmail.com</t>
  </si>
  <si>
    <t>Batool</t>
  </si>
  <si>
    <t>Majed</t>
  </si>
  <si>
    <t>جمعية قناديل جرش للتنمية الخيرية</t>
  </si>
  <si>
    <t xml:space="preserve">+962789720345 </t>
  </si>
  <si>
    <t>bashar@instfl.com</t>
  </si>
  <si>
    <t>Bashar</t>
  </si>
  <si>
    <t>Nazzal</t>
  </si>
  <si>
    <t>The Good Shot</t>
  </si>
  <si>
    <t xml:space="preserve">+962795727337 </t>
  </si>
  <si>
    <t>Fathia</t>
  </si>
  <si>
    <t>Almletat</t>
  </si>
  <si>
    <t xml:space="preserve">+9620791576342 </t>
  </si>
  <si>
    <t>Hassan</t>
  </si>
  <si>
    <t>Odeh</t>
  </si>
  <si>
    <t xml:space="preserve">+96280066606 </t>
  </si>
  <si>
    <t>salahsaud@gmail.com</t>
  </si>
  <si>
    <t>Salah</t>
  </si>
  <si>
    <t>Nasri</t>
  </si>
  <si>
    <t xml:space="preserve">+798705998 </t>
  </si>
  <si>
    <t>Mohamad</t>
  </si>
  <si>
    <t>Abu Aloul</t>
  </si>
  <si>
    <t xml:space="preserve">+962790176886 </t>
  </si>
  <si>
    <t>Nabeeh</t>
  </si>
  <si>
    <t>Mushtaha</t>
  </si>
  <si>
    <t xml:space="preserve">+962795115773 </t>
  </si>
  <si>
    <t>Ola</t>
  </si>
  <si>
    <t>Omari</t>
  </si>
  <si>
    <t xml:space="preserve">+962777000703 </t>
  </si>
  <si>
    <t>Faten</t>
  </si>
  <si>
    <t>Tanbour</t>
  </si>
  <si>
    <t xml:space="preserve">+962779081457 </t>
  </si>
  <si>
    <t>saragazal274@gmail.com</t>
  </si>
  <si>
    <t>Sara</t>
  </si>
  <si>
    <t>Gazal</t>
  </si>
  <si>
    <t>Majarra</t>
  </si>
  <si>
    <t xml:space="preserve">+787743654 </t>
  </si>
  <si>
    <t>Mahdy</t>
  </si>
  <si>
    <t>Ibrahem</t>
  </si>
  <si>
    <t xml:space="preserve">+962798794251 </t>
  </si>
  <si>
    <t>moath.tar23@gmail.com</t>
  </si>
  <si>
    <t>Moath</t>
  </si>
  <si>
    <t>Tarawneh</t>
  </si>
  <si>
    <t xml:space="preserve">+962995205413 </t>
  </si>
  <si>
    <t>nancy1212995@gmail.com</t>
  </si>
  <si>
    <t>Nancy</t>
  </si>
  <si>
    <t>Al-Suory</t>
  </si>
  <si>
    <t>مؤسسة نوڨا لتمكين الشبابي الدامج</t>
  </si>
  <si>
    <t xml:space="preserve">+962791129747 </t>
  </si>
  <si>
    <t>zeedalimon1991@gmail.com</t>
  </si>
  <si>
    <t>زيد</t>
  </si>
  <si>
    <t>الليمون</t>
  </si>
  <si>
    <t xml:space="preserve">+776393335 </t>
  </si>
  <si>
    <t>عبدالرحمن</t>
  </si>
  <si>
    <t>محمد القرامسه</t>
  </si>
  <si>
    <t xml:space="preserve">+962780734554 </t>
  </si>
  <si>
    <t>qtaitat.ahmad@gmail.com</t>
  </si>
  <si>
    <t>Ahmad</t>
  </si>
  <si>
    <t>Qtaitat</t>
  </si>
  <si>
    <t xml:space="preserve">+96277701991 </t>
  </si>
  <si>
    <t>Mohammad</t>
  </si>
  <si>
    <t>Jamhour</t>
  </si>
  <si>
    <t xml:space="preserve">+962775834561 </t>
  </si>
  <si>
    <t>Dallal</t>
  </si>
  <si>
    <t xml:space="preserve">+962795627776 </t>
  </si>
  <si>
    <t>farhan@impactmena.com</t>
  </si>
  <si>
    <t>Farhan</t>
  </si>
  <si>
    <t>Kalaldeh</t>
  </si>
  <si>
    <t xml:space="preserve">+962790218821 </t>
  </si>
  <si>
    <t>Buthena</t>
  </si>
  <si>
    <t>Abdullah</t>
  </si>
  <si>
    <t xml:space="preserve">+962778991870 </t>
  </si>
  <si>
    <t>m.aljasasrah138@gmail.com</t>
  </si>
  <si>
    <t>Mahmoud</t>
  </si>
  <si>
    <t>Aljasasrah</t>
  </si>
  <si>
    <t xml:space="preserve">+962771382002 </t>
  </si>
  <si>
    <t>mry356185@gmail.com</t>
  </si>
  <si>
    <t>مرعي</t>
  </si>
  <si>
    <t xml:space="preserve">+777340134 </t>
  </si>
  <si>
    <t>shaimaatmy.1995@gmail.com</t>
  </si>
  <si>
    <t>Shaimaa</t>
  </si>
  <si>
    <t>Yaseen</t>
  </si>
  <si>
    <t xml:space="preserve">+778080913 </t>
  </si>
  <si>
    <t>sebatalal493@gmail.com</t>
  </si>
  <si>
    <t>Seba</t>
  </si>
  <si>
    <t>Talal</t>
  </si>
  <si>
    <t xml:space="preserve">+962791930162 </t>
  </si>
  <si>
    <t>Alhato</t>
  </si>
  <si>
    <t xml:space="preserve">+962790217260 </t>
  </si>
  <si>
    <t>نور</t>
  </si>
  <si>
    <t>العيسى</t>
  </si>
  <si>
    <t>شركة نور لتصنيع الغذائي</t>
  </si>
  <si>
    <t xml:space="preserve">+962775958862 </t>
  </si>
  <si>
    <t>Wejdan</t>
  </si>
  <si>
    <t>Hasanat</t>
  </si>
  <si>
    <t xml:space="preserve">+962791559241 </t>
  </si>
  <si>
    <t>Rana</t>
  </si>
  <si>
    <t>Kandeel</t>
  </si>
  <si>
    <t xml:space="preserve">+962795737684 </t>
  </si>
  <si>
    <t>Muath</t>
  </si>
  <si>
    <t>Al-Hasan</t>
  </si>
  <si>
    <t xml:space="preserve">+96279335384 </t>
  </si>
  <si>
    <t>nawalh981@gmail.com</t>
  </si>
  <si>
    <t>ام كرم</t>
  </si>
  <si>
    <t>عويدات</t>
  </si>
  <si>
    <t>مطبخ ام كرم عويدات</t>
  </si>
  <si>
    <t xml:space="preserve">+962779235989 </t>
  </si>
  <si>
    <t>Zaid</t>
  </si>
  <si>
    <t>Al-Shobaki</t>
  </si>
  <si>
    <t xml:space="preserve">+962781165186 </t>
  </si>
  <si>
    <t xml:space="preserve">+9620779988644 </t>
  </si>
  <si>
    <t>سوار</t>
  </si>
  <si>
    <t>أعيده</t>
  </si>
  <si>
    <t xml:space="preserve">+9620770715872 </t>
  </si>
  <si>
    <t>cardiacpreventionco@gmail.com</t>
  </si>
  <si>
    <t>Cardiac</t>
  </si>
  <si>
    <t>Prevention Co. Qlpco</t>
  </si>
  <si>
    <t>qlpco</t>
  </si>
  <si>
    <t xml:space="preserve">+962795090320 </t>
  </si>
  <si>
    <t>احلام</t>
  </si>
  <si>
    <t>الخزاعله</t>
  </si>
  <si>
    <t xml:space="preserve">+962772151305 </t>
  </si>
  <si>
    <t>rabhalblawnh7@gmail.com</t>
  </si>
  <si>
    <t>Rabaa</t>
  </si>
  <si>
    <t>Balaanh</t>
  </si>
  <si>
    <t xml:space="preserve">+96298411371 </t>
  </si>
  <si>
    <t>صفاء</t>
  </si>
  <si>
    <t>سكرية</t>
  </si>
  <si>
    <t xml:space="preserve">+962799300708 </t>
  </si>
  <si>
    <t>Ayash</t>
  </si>
  <si>
    <t xml:space="preserve">+7962799436409 </t>
  </si>
  <si>
    <t>booking@shahrazadluxury.com</t>
  </si>
  <si>
    <t>Rasheed</t>
  </si>
  <si>
    <t>Al-Khlifat</t>
  </si>
  <si>
    <t xml:space="preserve">+962799088022 </t>
  </si>
  <si>
    <t>bobswidan@gmail.com</t>
  </si>
  <si>
    <t>Ibrahim</t>
  </si>
  <si>
    <t>Swidan</t>
  </si>
  <si>
    <t xml:space="preserve">+962785375372 </t>
  </si>
  <si>
    <t>Majdi</t>
  </si>
  <si>
    <t>AL Mashini</t>
  </si>
  <si>
    <t xml:space="preserve">+962796511500 </t>
  </si>
  <si>
    <t>aseelkhalaf94@gmail.com</t>
  </si>
  <si>
    <t>Aseel</t>
  </si>
  <si>
    <t>Al-Habahbeh</t>
  </si>
  <si>
    <t xml:space="preserve">+962772164364 </t>
  </si>
  <si>
    <t>amlalhlaly668@gmail.com</t>
  </si>
  <si>
    <t>Kreishan</t>
  </si>
  <si>
    <t xml:space="preserve">+96297036915 </t>
  </si>
  <si>
    <t>mais.alkhayyat@giz.de</t>
  </si>
  <si>
    <t>Mais</t>
  </si>
  <si>
    <t>Alkhayyat</t>
  </si>
  <si>
    <t xml:space="preserve">+962792908171 </t>
  </si>
  <si>
    <t>layth@kasselsoft.com</t>
  </si>
  <si>
    <t>Layth</t>
  </si>
  <si>
    <t xml:space="preserve">+962790075554 </t>
  </si>
  <si>
    <t>nedaah694@gmail.com</t>
  </si>
  <si>
    <t>Nedaa</t>
  </si>
  <si>
    <t>Hani</t>
  </si>
  <si>
    <t>Rosalyn</t>
  </si>
  <si>
    <t xml:space="preserve">+792912610 </t>
  </si>
  <si>
    <t>11amalnoor65@gmail.com</t>
  </si>
  <si>
    <t>سهام</t>
  </si>
  <si>
    <t>صالح</t>
  </si>
  <si>
    <t xml:space="preserve">+96299481062 </t>
  </si>
  <si>
    <t>lena.klein@giz.de</t>
  </si>
  <si>
    <t>Lena</t>
  </si>
  <si>
    <t>Klein</t>
  </si>
  <si>
    <t xml:space="preserve">+962790399935 </t>
  </si>
  <si>
    <t>Rula</t>
  </si>
  <si>
    <t>Aloqaili</t>
  </si>
  <si>
    <t xml:space="preserve">+962790837745 </t>
  </si>
  <si>
    <t>عدن</t>
  </si>
  <si>
    <t>المجاليه</t>
  </si>
  <si>
    <t xml:space="preserve">+790298531 </t>
  </si>
  <si>
    <t>Nahd</t>
  </si>
  <si>
    <t xml:space="preserve">+795729187 </t>
  </si>
  <si>
    <t>alqadyq12@gmail.com</t>
  </si>
  <si>
    <t>قصي</t>
  </si>
  <si>
    <t>القاضي</t>
  </si>
  <si>
    <t xml:space="preserve">+96285264716 </t>
  </si>
  <si>
    <t>ayatm7167@gmail.com</t>
  </si>
  <si>
    <t>Ayat</t>
  </si>
  <si>
    <t>Mosa</t>
  </si>
  <si>
    <t xml:space="preserve">+962877990323 </t>
  </si>
  <si>
    <t>shathanizar98@gmail.com</t>
  </si>
  <si>
    <t>Shatha</t>
  </si>
  <si>
    <t>Alazab</t>
  </si>
  <si>
    <t>Paperly project</t>
  </si>
  <si>
    <t xml:space="preserve">+962798270404 </t>
  </si>
  <si>
    <t>ibrahimalahlas9@gmail.com</t>
  </si>
  <si>
    <t>Alahlas</t>
  </si>
  <si>
    <t xml:space="preserve">+962796232715 </t>
  </si>
  <si>
    <t>islamirshedat1992@gmail.com</t>
  </si>
  <si>
    <t>Islam</t>
  </si>
  <si>
    <t>Irshedat</t>
  </si>
  <si>
    <t>AgriVisionAI</t>
  </si>
  <si>
    <t xml:space="preserve">+96280198303 </t>
  </si>
  <si>
    <t>holger.hinterthuer@icon-institute.de</t>
  </si>
  <si>
    <t>Holger</t>
  </si>
  <si>
    <t>Hinterthuer</t>
  </si>
  <si>
    <t xml:space="preserve">+4915151886052 </t>
  </si>
  <si>
    <t>fatemaqdah24@gmail.com</t>
  </si>
  <si>
    <t>فاطمه</t>
  </si>
  <si>
    <t>القضاه</t>
  </si>
  <si>
    <t>ريف الينابيع</t>
  </si>
  <si>
    <t xml:space="preserve">+9620779938929 </t>
  </si>
  <si>
    <t>jmanhalmjaly03@gmail.com</t>
  </si>
  <si>
    <t>عمر</t>
  </si>
  <si>
    <t>المجالي</t>
  </si>
  <si>
    <t>shefaa.tarawneh@yahoo.com</t>
  </si>
  <si>
    <t>Shefaa</t>
  </si>
  <si>
    <t>Kids E Zone</t>
  </si>
  <si>
    <t xml:space="preserve">+962799232290 </t>
  </si>
  <si>
    <t>laithyahia6@gmail.com</t>
  </si>
  <si>
    <t>Laith</t>
  </si>
  <si>
    <t>Yahia</t>
  </si>
  <si>
    <t xml:space="preserve">+962779092474 </t>
  </si>
  <si>
    <t>mariashishani1@gmail.com</t>
  </si>
  <si>
    <t>Maria</t>
  </si>
  <si>
    <t>Shishani</t>
  </si>
  <si>
    <t xml:space="preserve">+962796181322 </t>
  </si>
  <si>
    <t>ammar84315@gmail.com</t>
  </si>
  <si>
    <t>Ammar</t>
  </si>
  <si>
    <t>Alkawaldeh</t>
  </si>
  <si>
    <t xml:space="preserve">+962778278765 </t>
  </si>
  <si>
    <t>Hgag</t>
  </si>
  <si>
    <t xml:space="preserve">+96272796426 </t>
  </si>
  <si>
    <t>Hammam</t>
  </si>
  <si>
    <t>almbayed</t>
  </si>
  <si>
    <t xml:space="preserve">+962777349888 </t>
  </si>
  <si>
    <t>nuria.masdeu@icon-institute.de</t>
  </si>
  <si>
    <t>Nuria</t>
  </si>
  <si>
    <t>Masdeu Pamies</t>
  </si>
  <si>
    <t xml:space="preserve">+491795372147 </t>
  </si>
  <si>
    <t>tamerhawamdeh56@gmail.com</t>
  </si>
  <si>
    <t>تامر</t>
  </si>
  <si>
    <t>الحوامدة</t>
  </si>
  <si>
    <t xml:space="preserve">+962789130400 </t>
  </si>
  <si>
    <t>albzoor80@gmail.com</t>
  </si>
  <si>
    <t>Hasan</t>
  </si>
  <si>
    <t>Bzoor</t>
  </si>
  <si>
    <t xml:space="preserve">+962786904377 </t>
  </si>
  <si>
    <t>shadinkhalil9@gmail.com</t>
  </si>
  <si>
    <t>Shadin</t>
  </si>
  <si>
    <t>Khalil</t>
  </si>
  <si>
    <t xml:space="preserve">+962775977124 </t>
  </si>
  <si>
    <t>totastrong13@gmail.com</t>
  </si>
  <si>
    <t>Tota</t>
  </si>
  <si>
    <t>Strong</t>
  </si>
  <si>
    <t xml:space="preserve">+962772732268 </t>
  </si>
  <si>
    <t>linaalnaimat@gmail.com</t>
  </si>
  <si>
    <t>Lina</t>
  </si>
  <si>
    <t>Alnaimat</t>
  </si>
  <si>
    <t xml:space="preserve">+962799524751 </t>
  </si>
  <si>
    <t>tamamnaseer0@gmail.com</t>
  </si>
  <si>
    <t>Tamam</t>
  </si>
  <si>
    <t>بيلسان</t>
  </si>
  <si>
    <t xml:space="preserve">+962786416594 </t>
  </si>
  <si>
    <t>Wesam</t>
  </si>
  <si>
    <t>Nabeel</t>
  </si>
  <si>
    <t xml:space="preserve">+792281676 </t>
  </si>
  <si>
    <t>extratraveller25@gmail.com</t>
  </si>
  <si>
    <t>ANAS</t>
  </si>
  <si>
    <t>ALMARAYEH</t>
  </si>
  <si>
    <t xml:space="preserve">+962777701926 </t>
  </si>
  <si>
    <t>suhaibalammori5@gmail.com</t>
  </si>
  <si>
    <t>Suhaib</t>
  </si>
  <si>
    <t>Alammori</t>
  </si>
  <si>
    <t>Jobags</t>
  </si>
  <si>
    <t xml:space="preserve">+962796660015 </t>
  </si>
  <si>
    <t>Ekram</t>
  </si>
  <si>
    <t>Alshouha</t>
  </si>
  <si>
    <t>شركة إكرام الشوحة ورهف الشمري</t>
  </si>
  <si>
    <t xml:space="preserve">+9620777496561 </t>
  </si>
  <si>
    <t>Bahaa</t>
  </si>
  <si>
    <t>Tayeh</t>
  </si>
  <si>
    <t>Hakaia Community &amp; Hostel</t>
  </si>
  <si>
    <t xml:space="preserve">+962790746351 </t>
  </si>
  <si>
    <t>ayat.hanatleh@gmail.com</t>
  </si>
  <si>
    <t>ايات</t>
  </si>
  <si>
    <t>Hanatleh</t>
  </si>
  <si>
    <t xml:space="preserve">+96285341424 </t>
  </si>
  <si>
    <t>mustafashdaifat@gmail.com</t>
  </si>
  <si>
    <t>Mustafa</t>
  </si>
  <si>
    <t>Shd</t>
  </si>
  <si>
    <t xml:space="preserve">+9620790355261 </t>
  </si>
  <si>
    <t>entity.esc.2017@gmail.com</t>
  </si>
  <si>
    <t>Abdallah</t>
  </si>
  <si>
    <t>Mousa</t>
  </si>
  <si>
    <t xml:space="preserve">+96295080085 </t>
  </si>
  <si>
    <t>kholud.hjeleh@gmail.com</t>
  </si>
  <si>
    <t>Kholud</t>
  </si>
  <si>
    <t>hjeleh</t>
  </si>
  <si>
    <t>مطبخ انتاجي</t>
  </si>
  <si>
    <t xml:space="preserve">+962772053182 </t>
  </si>
  <si>
    <t>a_najim82@yahoo.com</t>
  </si>
  <si>
    <t>Ahlam</t>
  </si>
  <si>
    <t>Najim</t>
  </si>
  <si>
    <t xml:space="preserve">+962798787406 </t>
  </si>
  <si>
    <t>jalasd484@gmail.com</t>
  </si>
  <si>
    <t>جهاد</t>
  </si>
  <si>
    <t>الاسد</t>
  </si>
  <si>
    <t>متنزه الواد الاخضر</t>
  </si>
  <si>
    <t xml:space="preserve">+777042137 </t>
  </si>
  <si>
    <t>enasdweakat@gmail.com</t>
  </si>
  <si>
    <t>Enas</t>
  </si>
  <si>
    <t>Dweakat</t>
  </si>
  <si>
    <t xml:space="preserve">+96276838775 </t>
  </si>
  <si>
    <t>8u9ai.3beidat@gmail.com</t>
  </si>
  <si>
    <t>Qusai</t>
  </si>
  <si>
    <t>Obeidat</t>
  </si>
  <si>
    <t>Colza Center</t>
  </si>
  <si>
    <t xml:space="preserve">+96295119474 </t>
  </si>
  <si>
    <t>bsmhs5965@gmail.com</t>
  </si>
  <si>
    <t>بسمه</t>
  </si>
  <si>
    <t>تقدم شريكتي  خياطه وتعديل الملابس وايعادت تدوير الملابس القديمه حسب الموضه عم</t>
  </si>
  <si>
    <t xml:space="preserve">+796788584 </t>
  </si>
  <si>
    <t>fatema.kz0779@gmail.com</t>
  </si>
  <si>
    <t>فاطمة</t>
  </si>
  <si>
    <t>الخزاعلة</t>
  </si>
  <si>
    <t xml:space="preserve">+72838330 </t>
  </si>
  <si>
    <t>haneenmus079@gmail.com</t>
  </si>
  <si>
    <t>Haneen</t>
  </si>
  <si>
    <t>Alsheik</t>
  </si>
  <si>
    <t xml:space="preserve">+962782972489 </t>
  </si>
  <si>
    <t>aldaherbahader@gmail.com</t>
  </si>
  <si>
    <t>Bahader</t>
  </si>
  <si>
    <t>Aldaher</t>
  </si>
  <si>
    <t>مذاق الريف</t>
  </si>
  <si>
    <t xml:space="preserve">+9620795243603 </t>
  </si>
  <si>
    <t>ابتهال</t>
  </si>
  <si>
    <t>السرحان</t>
  </si>
  <si>
    <t xml:space="preserve">+96272009159 </t>
  </si>
  <si>
    <t>zozosdefat@gmail.com</t>
  </si>
  <si>
    <t>هانم</t>
  </si>
  <si>
    <t>سلامه</t>
  </si>
  <si>
    <t xml:space="preserve">+962779358816 </t>
  </si>
  <si>
    <t>anoudzghoul80@gmail.com</t>
  </si>
  <si>
    <t>Anoud</t>
  </si>
  <si>
    <t>Zghoul</t>
  </si>
  <si>
    <t>بيت الشماغ المُهدب</t>
  </si>
  <si>
    <t xml:space="preserve">+96272051880 </t>
  </si>
  <si>
    <t>alialhrahsha362@gmail.com</t>
  </si>
  <si>
    <t>منصور</t>
  </si>
  <si>
    <t>الحراحشه</t>
  </si>
  <si>
    <t xml:space="preserve">+962772461467 </t>
  </si>
  <si>
    <t>fager.ss6s@gmail.com</t>
  </si>
  <si>
    <t>كفى</t>
  </si>
  <si>
    <t>الزغول</t>
  </si>
  <si>
    <t>بيت المونه الريفي</t>
  </si>
  <si>
    <t xml:space="preserve">+9620779170365 </t>
  </si>
  <si>
    <t>safm0684@gmail.com</t>
  </si>
  <si>
    <t>Saleh</t>
  </si>
  <si>
    <t xml:space="preserve">+962780744560 </t>
  </si>
  <si>
    <t>tepaahmad2005@gmail.com</t>
  </si>
  <si>
    <t>نوره</t>
  </si>
  <si>
    <t>شناعه</t>
  </si>
  <si>
    <t>بيت خيرات جرش ي</t>
  </si>
  <si>
    <t xml:space="preserve">+779511797 </t>
  </si>
  <si>
    <t>ahamad.maher02@gmail.com</t>
  </si>
  <si>
    <t>Hala</t>
  </si>
  <si>
    <t>Sh</t>
  </si>
  <si>
    <t xml:space="preserve">+962798678658 </t>
  </si>
  <si>
    <t>Nouf</t>
  </si>
  <si>
    <t>Alshraa</t>
  </si>
  <si>
    <t>Green life</t>
  </si>
  <si>
    <t xml:space="preserve">+96287006308 </t>
  </si>
  <si>
    <t>ayahobeidat58@gmail.com</t>
  </si>
  <si>
    <t>Ayah</t>
  </si>
  <si>
    <t>Kafrasoum Natural Wonders</t>
  </si>
  <si>
    <t xml:space="preserve">+795869055 </t>
  </si>
  <si>
    <t>rawandalabeeh86a@gmail.com</t>
  </si>
  <si>
    <t>روان</t>
  </si>
  <si>
    <t>ابودلبوح</t>
  </si>
  <si>
    <t>جمعية بوابة رحاب الخيرية</t>
  </si>
  <si>
    <t xml:space="preserve">+789333439 </t>
  </si>
  <si>
    <t>rabab0777602526@gmail.com</t>
  </si>
  <si>
    <t>رابعه</t>
  </si>
  <si>
    <t>البلاونه</t>
  </si>
  <si>
    <t>Rabaa Dairy Shop - Jerash</t>
  </si>
  <si>
    <t xml:space="preserve">+962798411371 </t>
  </si>
  <si>
    <t>mohammadhomdie@gmail.com</t>
  </si>
  <si>
    <t>محمد</t>
  </si>
  <si>
    <t xml:space="preserve">+96290260031 </t>
  </si>
  <si>
    <t>nouhaalahmed@gmail.com</t>
  </si>
  <si>
    <t>Nouha</t>
  </si>
  <si>
    <t>AlOtoum</t>
  </si>
  <si>
    <t>ستوديو نهى</t>
  </si>
  <si>
    <t xml:space="preserve">+962791175910 </t>
  </si>
  <si>
    <t>aws.abujudeh@gmail.com</t>
  </si>
  <si>
    <t>aws</t>
  </si>
  <si>
    <t>abu judeh</t>
  </si>
  <si>
    <t>Balsim</t>
  </si>
  <si>
    <t xml:space="preserve">+9620781473757 </t>
  </si>
  <si>
    <t>hananmkakeel@icloud.com</t>
  </si>
  <si>
    <t>Hanan</t>
  </si>
  <si>
    <t>Aqeel</t>
  </si>
  <si>
    <t>KHIRAT ALSAHRAA</t>
  </si>
  <si>
    <t xml:space="preserve">+9620796091094 </t>
  </si>
  <si>
    <t>alrawafedjo@gmail.com</t>
  </si>
  <si>
    <t>alrawafed</t>
  </si>
  <si>
    <t>tech</t>
  </si>
  <si>
    <t>Rawafed for degital transformation</t>
  </si>
  <si>
    <t xml:space="preserve">+962775603092 </t>
  </si>
  <si>
    <t>shathahamed1994@gmail.com</t>
  </si>
  <si>
    <t>hamed</t>
  </si>
  <si>
    <t>Eco green</t>
  </si>
  <si>
    <t xml:space="preserve">+962792399576 </t>
  </si>
  <si>
    <t>مناحل</t>
  </si>
  <si>
    <t>بيسان</t>
  </si>
  <si>
    <t>مناحل بيسان</t>
  </si>
  <si>
    <t xml:space="preserve">+772882751 </t>
  </si>
  <si>
    <t>hrahshhsraj548@gmail.com</t>
  </si>
  <si>
    <t>Khawaldeh</t>
  </si>
  <si>
    <t xml:space="preserve">+96272899861 </t>
  </si>
  <si>
    <t>ibtisamahmeda@gmail.com</t>
  </si>
  <si>
    <t>Ibtisam</t>
  </si>
  <si>
    <t>Ahmeda</t>
  </si>
  <si>
    <t>الغروب للأزياء</t>
  </si>
  <si>
    <t xml:space="preserve">+9620795349716 </t>
  </si>
  <si>
    <t>amanialkhazaleh911@gmail.com</t>
  </si>
  <si>
    <t>Amani</t>
  </si>
  <si>
    <t>Alkhazaleh</t>
  </si>
  <si>
    <t>فراولة وعسل</t>
  </si>
  <si>
    <t xml:space="preserve">+962795646108 </t>
  </si>
  <si>
    <t>rethaalshwyat99@gmail.com</t>
  </si>
  <si>
    <t>Retha</t>
  </si>
  <si>
    <t>Alshwyat</t>
  </si>
  <si>
    <t>Chef van</t>
  </si>
  <si>
    <t xml:space="preserve">+962779789418 </t>
  </si>
  <si>
    <t>mah0772620139@gmail.com</t>
  </si>
  <si>
    <t>Frehat</t>
  </si>
  <si>
    <t>منتجع اكواخ وديان الشام</t>
  </si>
  <si>
    <t xml:space="preserve">+962772620139 </t>
  </si>
  <si>
    <t>ayashadiabadi@gmail.com</t>
  </si>
  <si>
    <t>Aya</t>
  </si>
  <si>
    <t>Almomani</t>
  </si>
  <si>
    <t>AYA ALMOMANI صناعة مجوهرات باستخدام الفضة</t>
  </si>
  <si>
    <t xml:space="preserve">+962790358905 </t>
  </si>
  <si>
    <t>rwlaabwdyh@gmail.com</t>
  </si>
  <si>
    <t>رولا</t>
  </si>
  <si>
    <t>ابوديه</t>
  </si>
  <si>
    <t>مطرزات رولاابودية</t>
  </si>
  <si>
    <t xml:space="preserve">+9620797734161 </t>
  </si>
  <si>
    <t xml:space="preserve">+96279092474 </t>
  </si>
  <si>
    <t>ahmad2013ahmad@gmail.com</t>
  </si>
  <si>
    <t>Alshgarean</t>
  </si>
  <si>
    <t xml:space="preserve">+9620779338015 </t>
  </si>
  <si>
    <t>Khnouf</t>
  </si>
  <si>
    <t xml:space="preserve">+962799313233 </t>
  </si>
  <si>
    <t>naghamabuafifeh96@gmail.com</t>
  </si>
  <si>
    <t>Nagham</t>
  </si>
  <si>
    <t>abuafifeh</t>
  </si>
  <si>
    <t xml:space="preserve">+9628110809079 </t>
  </si>
  <si>
    <t>amalobaidat672@gmail.com</t>
  </si>
  <si>
    <t>Amal</t>
  </si>
  <si>
    <t>Obaidat</t>
  </si>
  <si>
    <t>Amaal Sewn</t>
  </si>
  <si>
    <t xml:space="preserve">+799382230 </t>
  </si>
  <si>
    <t>malakradwan11@gmail.com</t>
  </si>
  <si>
    <t>Malak</t>
  </si>
  <si>
    <t>Al-Mashakbah</t>
  </si>
  <si>
    <t xml:space="preserve">+962772650260 </t>
  </si>
  <si>
    <t>wwwjoaliacom986@gmail.com</t>
  </si>
  <si>
    <t>عليا</t>
  </si>
  <si>
    <t>الحسبان</t>
  </si>
  <si>
    <t>مطبخ العلياء</t>
  </si>
  <si>
    <t xml:space="preserve">+962772324923 </t>
  </si>
  <si>
    <t>rashaemo00@yahoo.com</t>
  </si>
  <si>
    <t>Rasha</t>
  </si>
  <si>
    <t xml:space="preserve">+962799467471 </t>
  </si>
  <si>
    <t>razanjamal.eng@gmail.com</t>
  </si>
  <si>
    <t>Razan</t>
  </si>
  <si>
    <t>Jamal</t>
  </si>
  <si>
    <t xml:space="preserve">+962792850794 </t>
  </si>
  <si>
    <t>majedakhaireddin98@gmail.com</t>
  </si>
  <si>
    <t>Majeda</t>
  </si>
  <si>
    <t>Khaireddin</t>
  </si>
  <si>
    <t xml:space="preserve">+962795400523 </t>
  </si>
  <si>
    <t>assmmaaa7799@gmail.com</t>
  </si>
  <si>
    <t>Asma’a</t>
  </si>
  <si>
    <t>Mohammed</t>
  </si>
  <si>
    <t>Ever stitch</t>
  </si>
  <si>
    <t xml:space="preserve">+962778859432 </t>
  </si>
  <si>
    <t>motassem.qawasmi@gmail.com</t>
  </si>
  <si>
    <t>‏Motassem</t>
  </si>
  <si>
    <t>‏Alqawasmi</t>
  </si>
  <si>
    <t xml:space="preserve">+790002424 </t>
  </si>
  <si>
    <t>oraib@sohoerp.com</t>
  </si>
  <si>
    <t>Oraib</t>
  </si>
  <si>
    <t>Allaimoon</t>
  </si>
  <si>
    <t>SOHO</t>
  </si>
  <si>
    <t xml:space="preserve">+962790778978 </t>
  </si>
  <si>
    <t>beirut.fuel@gmail.com</t>
  </si>
  <si>
    <t>Beirut</t>
  </si>
  <si>
    <t>fuel</t>
  </si>
  <si>
    <t>Beirut for generation industrial fuel</t>
  </si>
  <si>
    <t xml:space="preserve">+96275744826 </t>
  </si>
  <si>
    <t>info@khudra.net</t>
  </si>
  <si>
    <t>Sameh</t>
  </si>
  <si>
    <t xml:space="preserve">+962787325128 </t>
  </si>
  <si>
    <t>fadi@kudzu.ai</t>
  </si>
  <si>
    <t>Fadi</t>
  </si>
  <si>
    <t>Yousef</t>
  </si>
  <si>
    <t>Kudzu ai</t>
  </si>
  <si>
    <t xml:space="preserve">+962799065906 </t>
  </si>
  <si>
    <t>anas.sh@vdatait.com</t>
  </si>
  <si>
    <t>Anas</t>
  </si>
  <si>
    <t>Shahrouri</t>
  </si>
  <si>
    <t xml:space="preserve">+962798980202 </t>
  </si>
  <si>
    <t>alshami</t>
  </si>
  <si>
    <t xml:space="preserve">+962796231871 </t>
  </si>
  <si>
    <t>sabalamea23@gmail.com</t>
  </si>
  <si>
    <t>Saba</t>
  </si>
  <si>
    <t>Lamea</t>
  </si>
  <si>
    <t xml:space="preserve">+962792728052 </t>
  </si>
  <si>
    <t>ahmad.abukhuit@envisionsai.com</t>
  </si>
  <si>
    <t>Abukhuit</t>
  </si>
  <si>
    <t>Envision SAI</t>
  </si>
  <si>
    <t xml:space="preserve">+962777263954 </t>
  </si>
  <si>
    <t>mouthanaalmohaisen@gmail.com</t>
  </si>
  <si>
    <t>Mouthana</t>
  </si>
  <si>
    <t>Almohaisen</t>
  </si>
  <si>
    <t>HypoFarm</t>
  </si>
  <si>
    <t xml:space="preserve">+962797232405 </t>
  </si>
  <si>
    <t>amjad@limejo.com</t>
  </si>
  <si>
    <t>امجد</t>
  </si>
  <si>
    <t>العبوة</t>
  </si>
  <si>
    <t xml:space="preserve">+962795547007 </t>
  </si>
  <si>
    <t>raalkaied@gmail.com</t>
  </si>
  <si>
    <t>Rami</t>
  </si>
  <si>
    <t>Alkaied</t>
  </si>
  <si>
    <t xml:space="preserve">+962799474313 </t>
  </si>
  <si>
    <t>habashnehtariq@gmail.com</t>
  </si>
  <si>
    <t>Tariq</t>
  </si>
  <si>
    <t>Habashneh</t>
  </si>
  <si>
    <t xml:space="preserve">+962795774622 </t>
  </si>
  <si>
    <t>amer@koshk.net</t>
  </si>
  <si>
    <t>Amer</t>
  </si>
  <si>
    <t>Alwreikat</t>
  </si>
  <si>
    <t xml:space="preserve">+962798074758 </t>
  </si>
  <si>
    <t>ahashqar88@gmail.com</t>
  </si>
  <si>
    <t>Amad</t>
  </si>
  <si>
    <t>Al-Ashqer</t>
  </si>
  <si>
    <t xml:space="preserve">+962793422221 </t>
  </si>
  <si>
    <t>ahmedalqudah98@gmail.com</t>
  </si>
  <si>
    <t>Ahmed</t>
  </si>
  <si>
    <t>Alqudah</t>
  </si>
  <si>
    <t>Alpha for services</t>
  </si>
  <si>
    <t xml:space="preserve">+962792581012 </t>
  </si>
  <si>
    <t>gffuh0415@gmail.com</t>
  </si>
  <si>
    <t>Fuh</t>
  </si>
  <si>
    <t>Gf</t>
  </si>
  <si>
    <t>جمعيه عين بني حسن الخيريه</t>
  </si>
  <si>
    <t xml:space="preserve">+962772240181 </t>
  </si>
  <si>
    <t>samah_najar@yahoo.com</t>
  </si>
  <si>
    <t>Samah</t>
  </si>
  <si>
    <t xml:space="preserve">+798407574 </t>
  </si>
  <si>
    <t>gerasaleather@gmail.com</t>
  </si>
  <si>
    <t>Albanna</t>
  </si>
  <si>
    <t xml:space="preserve">+962777432344 </t>
  </si>
  <si>
    <t>mohammad.yaseen@icashjo.com</t>
  </si>
  <si>
    <t>iCASH ~ Intelligent Cash for Business Administration</t>
  </si>
  <si>
    <t xml:space="preserve">+962788883453 </t>
  </si>
  <si>
    <t>albaraka166@gmail.com</t>
  </si>
  <si>
    <t>منال  عبد الجليل</t>
  </si>
  <si>
    <t>الشدايده</t>
  </si>
  <si>
    <t>ابره وخيط</t>
  </si>
  <si>
    <t xml:space="preserve">+962962772301400 </t>
  </si>
  <si>
    <t>odaialsmehee@gmail.com</t>
  </si>
  <si>
    <t>Odai</t>
  </si>
  <si>
    <t>Alsmehee</t>
  </si>
  <si>
    <t>ic steel الابتكار والابداع</t>
  </si>
  <si>
    <t xml:space="preserve">+96280122223 </t>
  </si>
  <si>
    <t>fajerhatamleh@gmail.com</t>
  </si>
  <si>
    <t>Fajer</t>
  </si>
  <si>
    <t>Hatamleh</t>
  </si>
  <si>
    <t>Fajer Alshamal - فجر الشمال</t>
  </si>
  <si>
    <t xml:space="preserve">+962798726263 </t>
  </si>
  <si>
    <t>ahamdan@nema-feed.com</t>
  </si>
  <si>
    <t>Anwar</t>
  </si>
  <si>
    <t>Hamdan</t>
  </si>
  <si>
    <t>Nema Feed</t>
  </si>
  <si>
    <t xml:space="preserve">+962778500800 </t>
  </si>
  <si>
    <t>dietitian.safaa.althunibat@gmail.com</t>
  </si>
  <si>
    <t>Safaa</t>
  </si>
  <si>
    <t>Althunibat</t>
  </si>
  <si>
    <t>dietitian safaa clinic</t>
  </si>
  <si>
    <t xml:space="preserve">+962797032672 </t>
  </si>
  <si>
    <t>amanimajed88@gmail.com</t>
  </si>
  <si>
    <t>Albashabsheh</t>
  </si>
  <si>
    <t>بيت الجميد الكركي</t>
  </si>
  <si>
    <t xml:space="preserve">+79622772034933 </t>
  </si>
  <si>
    <t>hebakasasbah56@gmail.com</t>
  </si>
  <si>
    <t>Heba</t>
  </si>
  <si>
    <t>Kasasbah</t>
  </si>
  <si>
    <t>Secret fashion</t>
  </si>
  <si>
    <t xml:space="preserve">+962796877639 </t>
  </si>
  <si>
    <t>sabagfares@gmail.com</t>
  </si>
  <si>
    <t>Fares</t>
  </si>
  <si>
    <t>Sabag</t>
  </si>
  <si>
    <t>مخيطة فارس الصباغ عجلون</t>
  </si>
  <si>
    <t xml:space="preserve">+96272249478 </t>
  </si>
  <si>
    <t>enshrahabdtra@gmail.com</t>
  </si>
  <si>
    <t>Ensherah</t>
  </si>
  <si>
    <t>توليب لتوزيعات والهدايا</t>
  </si>
  <si>
    <t xml:space="preserve">+9620797819037 </t>
  </si>
  <si>
    <t>shahednassar.officall@gmail.com</t>
  </si>
  <si>
    <t>Shahed</t>
  </si>
  <si>
    <t>Nassar</t>
  </si>
  <si>
    <t xml:space="preserve">+962795078548 </t>
  </si>
  <si>
    <t>m.barqawi@novo-wavo.com</t>
  </si>
  <si>
    <t>Mohamed</t>
  </si>
  <si>
    <t>Barqawi</t>
  </si>
  <si>
    <t>Black coffee for business development</t>
  </si>
  <si>
    <t xml:space="preserve">+962797947660 </t>
  </si>
  <si>
    <t>raed.abu.najim@gmail.com</t>
  </si>
  <si>
    <t>Ra’ed</t>
  </si>
  <si>
    <t>Abu Najim</t>
  </si>
  <si>
    <t>Spotless</t>
  </si>
  <si>
    <t xml:space="preserve">+962790068586 </t>
  </si>
  <si>
    <t>diaabanat6@gmail.com</t>
  </si>
  <si>
    <t>هدى</t>
  </si>
  <si>
    <t>بلاصيه</t>
  </si>
  <si>
    <t>بيت الأصالة للتراث الشعبي</t>
  </si>
  <si>
    <t xml:space="preserve">+962777198100 </t>
  </si>
  <si>
    <t>nebal.bt95@gmail.com</t>
  </si>
  <si>
    <t>Nebal</t>
  </si>
  <si>
    <t>Al-Btoush</t>
  </si>
  <si>
    <t>Nebaleva</t>
  </si>
  <si>
    <t xml:space="preserve">+962799488679 </t>
  </si>
  <si>
    <t>alikattan2030@gmail.com</t>
  </si>
  <si>
    <t>Ali</t>
  </si>
  <si>
    <t>Kattan</t>
  </si>
  <si>
    <t xml:space="preserve">+962796525525 </t>
  </si>
  <si>
    <t>sjawlydalhrahshh@gmail.com</t>
  </si>
  <si>
    <t>ساجده</t>
  </si>
  <si>
    <t>بني خالد</t>
  </si>
  <si>
    <t>مطبخ العائله</t>
  </si>
  <si>
    <t xml:space="preserve">+962962778911567 </t>
  </si>
  <si>
    <t>sujoodalbalawnah@gmail.com</t>
  </si>
  <si>
    <t>Sujood</t>
  </si>
  <si>
    <t>Alamarat</t>
  </si>
  <si>
    <t>الجبل الأخضر لزراعة المائية</t>
  </si>
  <si>
    <t xml:space="preserve">+962798667216 </t>
  </si>
  <si>
    <t>sbahbnyslman@gmail.com</t>
  </si>
  <si>
    <t>صباح</t>
  </si>
  <si>
    <t>بني سلمان</t>
  </si>
  <si>
    <t>بيت الضيافه صباح بني سلمان</t>
  </si>
  <si>
    <t xml:space="preserve">+772298946 </t>
  </si>
  <si>
    <t>dawoodabuqudeiri@gmail.com</t>
  </si>
  <si>
    <t>Dawood</t>
  </si>
  <si>
    <t>Abu Qudeiri</t>
  </si>
  <si>
    <t>متجر داوود ترند</t>
  </si>
  <si>
    <t xml:space="preserve">+96289799511 </t>
  </si>
  <si>
    <t>asalashamileh@gmail.com</t>
  </si>
  <si>
    <t>Asala</t>
  </si>
  <si>
    <t>Shamileh</t>
  </si>
  <si>
    <t>I Farm Smart</t>
  </si>
  <si>
    <t xml:space="preserve">+962777511857 </t>
  </si>
  <si>
    <t>maseer.jo@gmail.com</t>
  </si>
  <si>
    <t>Maysam</t>
  </si>
  <si>
    <t>Jaradat</t>
  </si>
  <si>
    <t>Maseerjo</t>
  </si>
  <si>
    <t xml:space="preserve">+962796967736 </t>
  </si>
  <si>
    <t>Omar</t>
  </si>
  <si>
    <t>Almuhtaseb</t>
  </si>
  <si>
    <t xml:space="preserve">+962798065607 </t>
  </si>
  <si>
    <t>Shaymaa</t>
  </si>
  <si>
    <t>Mansor</t>
  </si>
  <si>
    <t xml:space="preserve">+962795806846 </t>
  </si>
  <si>
    <t>المحتسب</t>
  </si>
  <si>
    <t xml:space="preserve">+9620782220977 </t>
  </si>
  <si>
    <t>alaarihani6@gmail.com</t>
  </si>
  <si>
    <t>Rihani</t>
  </si>
  <si>
    <t xml:space="preserve">+962791464684 </t>
  </si>
  <si>
    <t>omarotuom21@gmail.com</t>
  </si>
  <si>
    <t>Otuom</t>
  </si>
  <si>
    <t>omar otuom</t>
  </si>
  <si>
    <t xml:space="preserve">+962779111275 </t>
  </si>
  <si>
    <t>Alla</t>
  </si>
  <si>
    <t>Shamaileh</t>
  </si>
  <si>
    <t xml:space="preserve">+962772223399 </t>
  </si>
  <si>
    <t>asmaa</t>
  </si>
  <si>
    <t>Jrafeen</t>
  </si>
  <si>
    <t xml:space="preserve">+962775669591 </t>
  </si>
  <si>
    <t>Dunia</t>
  </si>
  <si>
    <t>Abuallan</t>
  </si>
  <si>
    <t xml:space="preserve">+96277576910 </t>
  </si>
  <si>
    <t>hanaabuqudary88@gmail.com</t>
  </si>
  <si>
    <t>Hana</t>
  </si>
  <si>
    <t>Abuqudary</t>
  </si>
  <si>
    <t>بيت الجميد</t>
  </si>
  <si>
    <t xml:space="preserve">+795403962 </t>
  </si>
  <si>
    <t>منى</t>
  </si>
  <si>
    <t>البدور</t>
  </si>
  <si>
    <t xml:space="preserve">+962772234718 </t>
  </si>
  <si>
    <t>Heiam</t>
  </si>
  <si>
    <t>Abosafi</t>
  </si>
  <si>
    <t xml:space="preserve">+962795615664 </t>
  </si>
  <si>
    <t>Alsawaris</t>
  </si>
  <si>
    <t xml:space="preserve">+9620776134670 </t>
  </si>
  <si>
    <t>Lama</t>
  </si>
  <si>
    <t>Mahadeen</t>
  </si>
  <si>
    <t xml:space="preserve">+9620797598554 </t>
  </si>
  <si>
    <t>fatomanono78@gmail.com</t>
  </si>
  <si>
    <t>فطوم</t>
  </si>
  <si>
    <t>الخوالدة</t>
  </si>
  <si>
    <t>فاطمه ابو الخير للاكسسوارات اليدويه</t>
  </si>
  <si>
    <t xml:space="preserve">+7888636506 </t>
  </si>
  <si>
    <t>d.ababneh@ipark.jo</t>
  </si>
  <si>
    <t>Derar</t>
  </si>
  <si>
    <t>Ababneh</t>
  </si>
  <si>
    <t xml:space="preserve">+799370626 </t>
  </si>
  <si>
    <t>ahmedadnan.isc@gmail.com</t>
  </si>
  <si>
    <t>Ahmed adnan</t>
  </si>
  <si>
    <t>Atyih</t>
  </si>
  <si>
    <t>Aqaba Entertainment Cinema</t>
  </si>
  <si>
    <t xml:space="preserve">+962791285550 </t>
  </si>
  <si>
    <t>mohammad.abuqaoud24@icloud.com</t>
  </si>
  <si>
    <t>Abuqaoud</t>
  </si>
  <si>
    <t>Jozainah</t>
  </si>
  <si>
    <t xml:space="preserve">+795708624 </t>
  </si>
  <si>
    <t>demaabuennab8@gmail.com</t>
  </si>
  <si>
    <t>Dema</t>
  </si>
  <si>
    <t>Abuennab</t>
  </si>
  <si>
    <t>منتجع واكواخ كركوش</t>
  </si>
  <si>
    <t xml:space="preserve">+778407731 </t>
  </si>
  <si>
    <t>ceooffice@pfg-jo.org</t>
  </si>
  <si>
    <t>Waleed</t>
  </si>
  <si>
    <t>Al-Tarawneh</t>
  </si>
  <si>
    <t xml:space="preserve">+96298148089 </t>
  </si>
  <si>
    <t>Rania</t>
  </si>
  <si>
    <t>Abo Dawwas</t>
  </si>
  <si>
    <t xml:space="preserve">+96295734590 </t>
  </si>
  <si>
    <t>nizar.suleibi@gmail.com</t>
  </si>
  <si>
    <t>Nizar</t>
  </si>
  <si>
    <t>Suleibi</t>
  </si>
  <si>
    <t xml:space="preserve">+96277520250 </t>
  </si>
  <si>
    <t>a.ghnimat@jrf.org.jo</t>
  </si>
  <si>
    <t>Ghnimat</t>
  </si>
  <si>
    <t xml:space="preserve">+962777950606 </t>
  </si>
  <si>
    <t>fayez@impactmena.com</t>
  </si>
  <si>
    <t>Fayez</t>
  </si>
  <si>
    <t>Al-Oran</t>
  </si>
  <si>
    <t xml:space="preserve">+962777877248 </t>
  </si>
  <si>
    <t>salmanharasis@ttu.edu.jo</t>
  </si>
  <si>
    <t>Salman</t>
  </si>
  <si>
    <t>Harasis</t>
  </si>
  <si>
    <t xml:space="preserve">+96277075562 </t>
  </si>
  <si>
    <t>sameh@ttu.edu.jo</t>
  </si>
  <si>
    <t>Alsaqoor</t>
  </si>
  <si>
    <t xml:space="preserve">+962796151216 </t>
  </si>
  <si>
    <t>ahmadalmahasena@gmail.com</t>
  </si>
  <si>
    <t>Mustafah Mahasneh</t>
  </si>
  <si>
    <t xml:space="preserve">+962791626467 </t>
  </si>
  <si>
    <t>shereenali361994@gmail.com</t>
  </si>
  <si>
    <t>Shireen</t>
  </si>
  <si>
    <t>shirena artist</t>
  </si>
  <si>
    <t xml:space="preserve">+795454810 </t>
  </si>
  <si>
    <t>mohmmedsamarah40@gmail.com</t>
  </si>
  <si>
    <t>Mohmmed</t>
  </si>
  <si>
    <t>Samarah</t>
  </si>
  <si>
    <t xml:space="preserve">+962789995315 </t>
  </si>
  <si>
    <t>hhjaber@gmail.com</t>
  </si>
  <si>
    <t>JABER</t>
  </si>
  <si>
    <t xml:space="preserve">+962777374653 </t>
  </si>
  <si>
    <t>farahqtaishatt@gmail.com</t>
  </si>
  <si>
    <t>Farah</t>
  </si>
  <si>
    <t>Qutishat</t>
  </si>
  <si>
    <t xml:space="preserve">+962799143413 </t>
  </si>
  <si>
    <t>jamal.khabbaze@gmail.com</t>
  </si>
  <si>
    <t>Khabbaze</t>
  </si>
  <si>
    <t xml:space="preserve">+962795535060 </t>
  </si>
  <si>
    <t>b.sh@vdatait.com</t>
  </si>
  <si>
    <t>Basheer</t>
  </si>
  <si>
    <t xml:space="preserve">+962791765942 </t>
  </si>
  <si>
    <t>hamza.dawoud1@hotmail.com</t>
  </si>
  <si>
    <t>Hamzeh</t>
  </si>
  <si>
    <t>Aldaoud</t>
  </si>
  <si>
    <t xml:space="preserve">+962798472807 </t>
  </si>
  <si>
    <t>rawanmansour439@gmail.com</t>
  </si>
  <si>
    <t>Rawan</t>
  </si>
  <si>
    <t>Mansour</t>
  </si>
  <si>
    <t xml:space="preserve">+962789472805 </t>
  </si>
  <si>
    <t>remahamzat77@gmail.com</t>
  </si>
  <si>
    <t>Rema</t>
  </si>
  <si>
    <t>Hamzat</t>
  </si>
  <si>
    <t>um hamzah guest house</t>
  </si>
  <si>
    <t xml:space="preserve">+962775512642 </t>
  </si>
  <si>
    <t>irshedat.islam@yahoo.com</t>
  </si>
  <si>
    <t>ashraf.bany@gmail.com</t>
  </si>
  <si>
    <t>Ashraf</t>
  </si>
  <si>
    <t>Bany Mohammed</t>
  </si>
  <si>
    <t xml:space="preserve">+795822866 </t>
  </si>
  <si>
    <t>cristina.shawaqfeh@icon-institute.de</t>
  </si>
  <si>
    <t>Cristina</t>
  </si>
  <si>
    <t>Shawaqfeh</t>
  </si>
  <si>
    <t xml:space="preserve">+962791485636 </t>
  </si>
  <si>
    <t>ahmad.alnoubani@gmail.com</t>
  </si>
  <si>
    <t>Noubani</t>
  </si>
  <si>
    <t>OLITEC for Agri Business</t>
  </si>
  <si>
    <t xml:space="preserve">+962785359312 </t>
  </si>
  <si>
    <t>marzban.cooper@giz.de</t>
  </si>
  <si>
    <t>Marzban</t>
  </si>
  <si>
    <t>Cooper</t>
  </si>
  <si>
    <t xml:space="preserve">+962790038531 </t>
  </si>
  <si>
    <t>dalia.ayoub@srif.gov.jo</t>
  </si>
  <si>
    <t>Dalia</t>
  </si>
  <si>
    <t>Ayoub</t>
  </si>
  <si>
    <t xml:space="preserve">+962797165983 </t>
  </si>
  <si>
    <t>Robotics</t>
  </si>
  <si>
    <t>lab</t>
  </si>
  <si>
    <t xml:space="preserve">+962793334179 </t>
  </si>
  <si>
    <t>ايمان</t>
  </si>
  <si>
    <t>صقر احمد</t>
  </si>
  <si>
    <t xml:space="preserve">+96285871632 </t>
  </si>
  <si>
    <t>nouha.salhi@icon-institute.de</t>
  </si>
  <si>
    <t>Salhi</t>
  </si>
  <si>
    <t xml:space="preserve">+4917635300568 </t>
  </si>
  <si>
    <t>yousef@kasselsoft.jo</t>
  </si>
  <si>
    <t xml:space="preserve">+962793832929 </t>
  </si>
  <si>
    <t>george.catinis@icon-institute.de</t>
  </si>
  <si>
    <t>George</t>
  </si>
  <si>
    <t>Catinis</t>
  </si>
  <si>
    <t xml:space="preserve">+962782453553 </t>
  </si>
  <si>
    <t>laura.elbing@icon-institute.de</t>
  </si>
  <si>
    <t>Laura</t>
  </si>
  <si>
    <t>Elbing</t>
  </si>
  <si>
    <t xml:space="preserve">+4915738250365 </t>
  </si>
  <si>
    <t>raed.shteiwi@gmail.com</t>
  </si>
  <si>
    <t>Raed</t>
  </si>
  <si>
    <t>Shteiwi</t>
  </si>
  <si>
    <t>Alien Energy Consultants</t>
  </si>
  <si>
    <t xml:space="preserve">+15133911376 </t>
  </si>
  <si>
    <t>Sahar</t>
  </si>
  <si>
    <t>Omoush</t>
  </si>
  <si>
    <t>جمعية العلا الخيرية</t>
  </si>
  <si>
    <t xml:space="preserve">+779155788 </t>
  </si>
  <si>
    <t>ghaith@kudzu.ai</t>
  </si>
  <si>
    <t>Ghaith</t>
  </si>
  <si>
    <t>Zakaria</t>
  </si>
  <si>
    <t xml:space="preserve">+962797024661 </t>
  </si>
  <si>
    <t>maha.saadeh017@gmail.com</t>
  </si>
  <si>
    <t>Maha</t>
  </si>
  <si>
    <t>Saadeh</t>
  </si>
  <si>
    <t xml:space="preserve">+962787665551 </t>
  </si>
  <si>
    <t>abdallah@kudzu.ai</t>
  </si>
  <si>
    <t>Abbasi</t>
  </si>
  <si>
    <t xml:space="preserve">+962797099140 </t>
  </si>
  <si>
    <t>manarahmed199430@gmail.com</t>
  </si>
  <si>
    <t>Manar</t>
  </si>
  <si>
    <t>Al-Zyoud</t>
  </si>
  <si>
    <t>سلة الحياة</t>
  </si>
  <si>
    <t xml:space="preserve">+962779622097 </t>
  </si>
  <si>
    <t>sqourtareq@gmail.com</t>
  </si>
  <si>
    <t>Tareq</t>
  </si>
  <si>
    <t>Sqour</t>
  </si>
  <si>
    <t>مكتب طارق الصقور للخدمات الهندسية والتصميم</t>
  </si>
  <si>
    <t xml:space="preserve">+9620772073282 </t>
  </si>
  <si>
    <t>Alkazali</t>
  </si>
  <si>
    <t xml:space="preserve">+96287749312 </t>
  </si>
  <si>
    <t>Ghalya</t>
  </si>
  <si>
    <t>Kasem</t>
  </si>
  <si>
    <t>التراث الملون بخيوط الماضي والحاضر</t>
  </si>
  <si>
    <t xml:space="preserve">+962777349551 </t>
  </si>
  <si>
    <t>عبله</t>
  </si>
  <si>
    <t>سالم</t>
  </si>
  <si>
    <t>بيت العلي للتراث و الزراعه</t>
  </si>
  <si>
    <t xml:space="preserve">+772241349 </t>
  </si>
  <si>
    <t>Abdeen</t>
  </si>
  <si>
    <t xml:space="preserve">+962790424545 </t>
  </si>
  <si>
    <t>Albadarneh</t>
  </si>
  <si>
    <t xml:space="preserve">+96298069756 </t>
  </si>
  <si>
    <t>nowarasami92@gmail.com</t>
  </si>
  <si>
    <t>Alnwar</t>
  </si>
  <si>
    <t>Sami</t>
  </si>
  <si>
    <t xml:space="preserve">+9620798912790 </t>
  </si>
  <si>
    <t>a.fareed@alefredoedtech.com</t>
  </si>
  <si>
    <t>Ahmad Al Saif</t>
  </si>
  <si>
    <t>Al Saif</t>
  </si>
  <si>
    <t xml:space="preserve">+962797080114 </t>
  </si>
  <si>
    <t>jumana75alhamarsheh@gmail.com</t>
  </si>
  <si>
    <t>Jumana</t>
  </si>
  <si>
    <t>Alhamarsheh</t>
  </si>
  <si>
    <t xml:space="preserve">+962799709407 </t>
  </si>
  <si>
    <t>Om ahmad</t>
  </si>
  <si>
    <t>Al hamad</t>
  </si>
  <si>
    <t>حكاية حرفة</t>
  </si>
  <si>
    <t xml:space="preserve">+775752852 </t>
  </si>
  <si>
    <t>afaqalriadah2017@gmail.com</t>
  </si>
  <si>
    <t>Afaq</t>
  </si>
  <si>
    <t>Alriadah</t>
  </si>
  <si>
    <t xml:space="preserve">+962791421126 </t>
  </si>
  <si>
    <t>Alzoubi</t>
  </si>
  <si>
    <t xml:space="preserve">+962772102550 </t>
  </si>
  <si>
    <t>g2138120@gmail.com</t>
  </si>
  <si>
    <t xml:space="preserve">+9620777349551 </t>
  </si>
  <si>
    <t>هاله</t>
  </si>
  <si>
    <t>العناسوه</t>
  </si>
  <si>
    <t>شوكولاه هاله</t>
  </si>
  <si>
    <t xml:space="preserve">+96295439175 </t>
  </si>
  <si>
    <t>mohammad.alkharabsheh.ai@gmail.com</t>
  </si>
  <si>
    <t>Kharabsheh</t>
  </si>
  <si>
    <t xml:space="preserve">+962777661106 </t>
  </si>
  <si>
    <t>Eman</t>
  </si>
  <si>
    <t>shalabi84</t>
  </si>
  <si>
    <t xml:space="preserve">+795444158 </t>
  </si>
  <si>
    <t>19kutkut@gmail.com</t>
  </si>
  <si>
    <t>نهله</t>
  </si>
  <si>
    <t>كتكت</t>
  </si>
  <si>
    <t xml:space="preserve">+790307811 </t>
  </si>
  <si>
    <t>Qataweneh</t>
  </si>
  <si>
    <t>alshamiayoob97@gmail.com</t>
  </si>
  <si>
    <t>Ayoob</t>
  </si>
  <si>
    <t>Alshami</t>
  </si>
  <si>
    <t xml:space="preserve">+962781271972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</si>
</sst>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name val="Arial"/>
      <family val="1"/>
    </font>
    <font>
      <sz val="11"/>
      <color theme="1"/>
      <name val="Aptos Narrow"/>
      <family val="2"/>
      <scheme val="minor"/>
    </font>
    <font>
      <b/>
      <sz val="11"/>
      <color theme="0"/>
      <name val="Arial"/>
      <family val="1"/>
    </font>
    <font>
      <sz val="11"/>
      <name val="Carlito"/>
    </font>
    <font>
      <sz val="10"/>
      <name val="Arial"/>
      <family val="2"/>
    </font>
    <font>
      <u/>
      <sz val="11"/>
      <color theme="10"/>
      <name val="Carlito"/>
    </font>
    <font>
      <sz val="11"/>
      <name val="Arial"/>
      <family val="2"/>
    </font>
    <font>
      <b/>
      <sz val="10"/>
      <color rgb="FF167156"/>
      <name val="Arial"/>
      <family val="2"/>
    </font>
    <font>
      <sz val="10"/>
      <color rgb="FF17263B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1"/>
    </font>
    <font>
      <sz val="10"/>
      <color rgb="FF5C6672"/>
      <name val="Arial"/>
      <family val="1"/>
    </font>
    <font>
      <b/>
      <sz val="10"/>
      <color rgb="FF11653C"/>
      <name val="Arial"/>
      <family val="1"/>
    </font>
    <font>
      <b/>
      <sz val="10"/>
      <color rgb="FFFF0000"/>
      <name val="Arial"/>
      <family val="2"/>
    </font>
    <font>
      <b/>
      <sz val="11"/>
      <color theme="1"/>
      <name val="Arial"/>
      <family val="1"/>
    </font>
    <font>
      <sz val="10"/>
      <color rgb="FF17263B"/>
      <name val="Arial"/>
      <family val="2"/>
    </font>
    <font>
      <sz val="11"/>
      <color rgb="FFFF0000"/>
      <name val="Arial"/>
      <family val="1"/>
    </font>
    <font>
      <sz val="11"/>
      <name val="Arial"/>
      <family val="1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b/>
      <sz val="11"/>
      <name val="Arial"/>
      <family val="2"/>
    </font>
    <font>
      <u/>
      <sz val="11"/>
      <color theme="10"/>
      <name val="Aptos Narrow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  <font>
      <sz val="11"/>
      <color rgb="FFFF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C304A"/>
      </patternFill>
    </fill>
    <fill>
      <patternFill patternType="solid">
        <fgColor rgb="FF002060"/>
      </patternFill>
    </fill>
    <fill>
      <patternFill patternType="solid">
        <fgColor rgb="FFE5F4EB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9" fontId="18" fillId="0" borderId="0" applyFont="0" applyFill="0" applyBorder="0" applyAlignment="0" applyProtection="0"/>
    <xf numFmtId="0" fontId="1" fillId="0" borderId="0"/>
    <xf numFmtId="0" fontId="23" fillId="0" borderId="0" applyNumberFormat="0" applyFill="0" applyBorder="0" applyAlignment="0" applyProtection="0"/>
  </cellStyleXfs>
  <cellXfs count="112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0" xfId="1"/>
    <xf numFmtId="0" fontId="8" fillId="0" borderId="0" xfId="1" applyFont="1" applyAlignment="1">
      <alignment horizontal="left" vertical="center"/>
    </xf>
    <xf numFmtId="0" fontId="3" fillId="0" borderId="0" xfId="1" applyAlignment="1">
      <alignment wrapText="1"/>
    </xf>
    <xf numFmtId="0" fontId="11" fillId="5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3" fillId="0" borderId="0" xfId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10" fillId="4" borderId="0" xfId="1" applyFont="1" applyFill="1" applyAlignment="1">
      <alignment horizontal="center" vertical="center" wrapText="1"/>
    </xf>
    <xf numFmtId="0" fontId="10" fillId="3" borderId="0" xfId="1" applyFont="1" applyFill="1" applyAlignment="1">
      <alignment horizontal="center" vertical="center" wrapText="1"/>
    </xf>
    <xf numFmtId="0" fontId="8" fillId="0" borderId="1" xfId="1" applyFont="1" applyBorder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9" fillId="0" borderId="1" xfId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/>
    </xf>
    <xf numFmtId="0" fontId="3" fillId="0" borderId="0" xfId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7" borderId="4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/>
    </xf>
    <xf numFmtId="0" fontId="3" fillId="0" borderId="1" xfId="1" applyBorder="1" applyAlignment="1">
      <alignment vertical="center"/>
    </xf>
    <xf numFmtId="0" fontId="3" fillId="0" borderId="3" xfId="1" applyBorder="1" applyAlignment="1">
      <alignment vertical="center"/>
    </xf>
    <xf numFmtId="0" fontId="16" fillId="0" borderId="3" xfId="1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7" fillId="9" borderId="1" xfId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pivotButton="1" applyAlignment="1">
      <alignment horizontal="left" vertical="center"/>
    </xf>
    <xf numFmtId="0" fontId="21" fillId="10" borderId="0" xfId="4" applyFont="1" applyFill="1" applyAlignment="1">
      <alignment vertical="center"/>
    </xf>
    <xf numFmtId="0" fontId="1" fillId="0" borderId="0" xfId="4"/>
    <xf numFmtId="0" fontId="22" fillId="0" borderId="1" xfId="4" applyFont="1" applyBorder="1" applyAlignment="1">
      <alignment horizontal="center" vertical="center"/>
    </xf>
    <xf numFmtId="0" fontId="22" fillId="10" borderId="6" xfId="4" applyFont="1" applyFill="1" applyBorder="1" applyAlignment="1">
      <alignment horizontal="center" vertical="center"/>
    </xf>
    <xf numFmtId="0" fontId="22" fillId="10" borderId="1" xfId="4" applyFont="1" applyFill="1" applyBorder="1" applyAlignment="1">
      <alignment horizontal="center" vertical="center"/>
    </xf>
    <xf numFmtId="0" fontId="19" fillId="0" borderId="1" xfId="4" applyFont="1" applyBorder="1"/>
    <xf numFmtId="0" fontId="22" fillId="10" borderId="2" xfId="4" applyFont="1" applyFill="1" applyBorder="1" applyAlignment="1">
      <alignment horizontal="center" vertical="center"/>
    </xf>
    <xf numFmtId="0" fontId="6" fillId="0" borderId="1" xfId="4" applyFont="1" applyBorder="1" applyAlignment="1">
      <alignment vertical="center"/>
    </xf>
    <xf numFmtId="0" fontId="20" fillId="10" borderId="6" xfId="4" applyFont="1" applyFill="1" applyBorder="1" applyAlignment="1">
      <alignment vertical="center"/>
    </xf>
    <xf numFmtId="0" fontId="20" fillId="10" borderId="1" xfId="4" applyFont="1" applyFill="1" applyBorder="1" applyAlignment="1">
      <alignment vertical="center"/>
    </xf>
    <xf numFmtId="0" fontId="20" fillId="10" borderId="1" xfId="4" quotePrefix="1" applyFont="1" applyFill="1" applyBorder="1" applyAlignment="1">
      <alignment vertical="center"/>
    </xf>
    <xf numFmtId="0" fontId="23" fillId="10" borderId="1" xfId="5" applyFill="1" applyBorder="1" applyAlignment="1">
      <alignment vertical="center"/>
    </xf>
    <xf numFmtId="0" fontId="1" fillId="11" borderId="1" xfId="4" applyFill="1" applyBorder="1"/>
    <xf numFmtId="0" fontId="6" fillId="12" borderId="1" xfId="4" applyFont="1" applyFill="1" applyBorder="1" applyAlignment="1">
      <alignment vertical="center"/>
    </xf>
    <xf numFmtId="0" fontId="20" fillId="12" borderId="6" xfId="4" applyFont="1" applyFill="1" applyBorder="1" applyAlignment="1">
      <alignment vertical="center"/>
    </xf>
    <xf numFmtId="0" fontId="20" fillId="12" borderId="1" xfId="4" applyFont="1" applyFill="1" applyBorder="1" applyAlignment="1">
      <alignment vertical="center"/>
    </xf>
    <xf numFmtId="0" fontId="20" fillId="12" borderId="1" xfId="4" quotePrefix="1" applyFont="1" applyFill="1" applyBorder="1" applyAlignment="1">
      <alignment vertical="center"/>
    </xf>
    <xf numFmtId="0" fontId="1" fillId="0" borderId="1" xfId="4" applyBorder="1"/>
    <xf numFmtId="0" fontId="6" fillId="10" borderId="6" xfId="4" applyFont="1" applyFill="1" applyBorder="1" applyAlignment="1">
      <alignment vertical="center"/>
    </xf>
    <xf numFmtId="0" fontId="6" fillId="10" borderId="1" xfId="4" applyFont="1" applyFill="1" applyBorder="1" applyAlignment="1">
      <alignment vertical="center"/>
    </xf>
    <xf numFmtId="0" fontId="6" fillId="11" borderId="1" xfId="4" applyFont="1" applyFill="1" applyBorder="1" applyAlignment="1">
      <alignment vertical="center"/>
    </xf>
    <xf numFmtId="0" fontId="20" fillId="10" borderId="5" xfId="4" applyFont="1" applyFill="1" applyBorder="1" applyAlignment="1">
      <alignment vertical="center"/>
    </xf>
    <xf numFmtId="0" fontId="20" fillId="10" borderId="1" xfId="5" applyFont="1" applyFill="1" applyBorder="1" applyAlignment="1">
      <alignment vertical="center" wrapText="1"/>
    </xf>
    <xf numFmtId="0" fontId="20" fillId="13" borderId="6" xfId="4" applyFont="1" applyFill="1" applyBorder="1" applyAlignment="1">
      <alignment vertical="center"/>
    </xf>
    <xf numFmtId="0" fontId="20" fillId="10" borderId="1" xfId="4" applyFont="1" applyFill="1" applyBorder="1" applyAlignment="1">
      <alignment horizontal="left" vertical="center"/>
    </xf>
    <xf numFmtId="0" fontId="24" fillId="0" borderId="7" xfId="4" applyFont="1" applyBorder="1" applyAlignment="1">
      <alignment wrapText="1"/>
    </xf>
    <xf numFmtId="0" fontId="25" fillId="0" borderId="1" xfId="4" applyFont="1" applyBorder="1"/>
    <xf numFmtId="0" fontId="27" fillId="11" borderId="0" xfId="4" applyFont="1" applyFill="1"/>
    <xf numFmtId="0" fontId="28" fillId="11" borderId="6" xfId="4" applyFont="1" applyFill="1" applyBorder="1" applyAlignment="1">
      <alignment vertical="center"/>
    </xf>
    <xf numFmtId="0" fontId="20" fillId="10" borderId="8" xfId="4" applyFont="1" applyFill="1" applyBorder="1" applyAlignment="1">
      <alignment vertical="center"/>
    </xf>
    <xf numFmtId="0" fontId="23" fillId="10" borderId="6" xfId="5" applyFill="1" applyBorder="1" applyAlignment="1">
      <alignment vertical="center"/>
    </xf>
    <xf numFmtId="0" fontId="20" fillId="10" borderId="1" xfId="4" applyFont="1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0" fillId="13" borderId="0" xfId="1" applyFont="1" applyFill="1" applyAlignment="1">
      <alignment horizontal="center" vertical="center" wrapText="1"/>
    </xf>
    <xf numFmtId="0" fontId="10" fillId="13" borderId="0" xfId="1" applyFont="1" applyFill="1" applyAlignment="1">
      <alignment horizontal="left" vertical="center" wrapText="1"/>
    </xf>
    <xf numFmtId="3" fontId="8" fillId="13" borderId="1" xfId="1" applyNumberFormat="1" applyFont="1" applyFill="1" applyBorder="1" applyAlignment="1">
      <alignment horizontal="center" vertical="center"/>
    </xf>
    <xf numFmtId="0" fontId="8" fillId="13" borderId="1" xfId="1" applyFont="1" applyFill="1" applyBorder="1" applyAlignment="1">
      <alignment horizontal="center" vertical="center"/>
    </xf>
    <xf numFmtId="0" fontId="8" fillId="13" borderId="1" xfId="1" applyFont="1" applyFill="1" applyBorder="1" applyAlignment="1">
      <alignment horizontal="left" vertical="center"/>
    </xf>
    <xf numFmtId="0" fontId="4" fillId="13" borderId="1" xfId="1" applyFont="1" applyFill="1" applyBorder="1" applyAlignment="1">
      <alignment horizontal="left" vertical="center"/>
    </xf>
    <xf numFmtId="0" fontId="4" fillId="13" borderId="1" xfId="1" applyFont="1" applyFill="1" applyBorder="1" applyAlignment="1">
      <alignment horizontal="center" vertical="center"/>
    </xf>
    <xf numFmtId="0" fontId="3" fillId="13" borderId="3" xfId="1" applyFill="1" applyBorder="1" applyAlignment="1">
      <alignment horizontal="center" vertical="center"/>
    </xf>
    <xf numFmtId="0" fontId="3" fillId="13" borderId="3" xfId="1" applyFill="1" applyBorder="1" applyAlignment="1">
      <alignment horizontal="left" vertical="center"/>
    </xf>
    <xf numFmtId="0" fontId="3" fillId="13" borderId="1" xfId="1" applyFill="1" applyBorder="1" applyAlignment="1">
      <alignment horizontal="center" vertical="center"/>
    </xf>
    <xf numFmtId="0" fontId="3" fillId="13" borderId="1" xfId="1" applyFill="1" applyBorder="1" applyAlignment="1">
      <alignment horizontal="left" vertical="center"/>
    </xf>
    <xf numFmtId="0" fontId="3" fillId="13" borderId="3" xfId="1" applyFill="1" applyBorder="1" applyAlignment="1">
      <alignment vertical="center"/>
    </xf>
    <xf numFmtId="0" fontId="3" fillId="13" borderId="1" xfId="1" applyFill="1" applyBorder="1" applyAlignment="1">
      <alignment vertical="center"/>
    </xf>
    <xf numFmtId="0" fontId="10" fillId="4" borderId="1" xfId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9" fontId="17" fillId="13" borderId="1" xfId="3" applyFont="1" applyFill="1" applyBorder="1" applyAlignment="1">
      <alignment horizontal="center" vertical="center"/>
    </xf>
    <xf numFmtId="0" fontId="20" fillId="10" borderId="0" xfId="4" applyFont="1" applyFill="1" applyAlignment="1">
      <alignment vertical="center"/>
    </xf>
    <xf numFmtId="0" fontId="20" fillId="10" borderId="3" xfId="4" applyFont="1" applyFill="1" applyBorder="1" applyAlignment="1">
      <alignment vertical="center"/>
    </xf>
    <xf numFmtId="0" fontId="6" fillId="10" borderId="0" xfId="4" applyFont="1" applyFill="1" applyAlignment="1">
      <alignment vertical="center"/>
    </xf>
    <xf numFmtId="0" fontId="20" fillId="10" borderId="4" xfId="4" applyFont="1" applyFill="1" applyBorder="1" applyAlignment="1">
      <alignment vertical="center"/>
    </xf>
    <xf numFmtId="0" fontId="22" fillId="10" borderId="0" xfId="4" applyFont="1" applyFill="1" applyAlignment="1">
      <alignment horizontal="center" vertical="center"/>
    </xf>
    <xf numFmtId="0" fontId="22" fillId="10" borderId="4" xfId="4" applyFont="1" applyFill="1" applyBorder="1" applyAlignment="1">
      <alignment horizontal="center" vertical="center"/>
    </xf>
    <xf numFmtId="0" fontId="22" fillId="10" borderId="4" xfId="4" applyFont="1" applyFill="1" applyBorder="1" applyAlignment="1">
      <alignment horizontal="center" vertical="center" wrapText="1"/>
    </xf>
    <xf numFmtId="15" fontId="20" fillId="10" borderId="0" xfId="4" applyNumberFormat="1" applyFont="1" applyFill="1" applyAlignment="1">
      <alignment vertical="center"/>
    </xf>
    <xf numFmtId="1" fontId="17" fillId="13" borderId="1" xfId="3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29" fillId="13" borderId="10" xfId="0" applyFont="1" applyFill="1" applyBorder="1" applyAlignment="1">
      <alignment horizontal="center" vertical="center"/>
    </xf>
    <xf numFmtId="0" fontId="29" fillId="13" borderId="11" xfId="0" applyFont="1" applyFill="1" applyBorder="1" applyAlignment="1">
      <alignment horizontal="center" vertical="center"/>
    </xf>
    <xf numFmtId="0" fontId="29" fillId="13" borderId="12" xfId="0" applyFont="1" applyFill="1" applyBorder="1" applyAlignment="1">
      <alignment horizontal="center" vertical="center"/>
    </xf>
    <xf numFmtId="0" fontId="29" fillId="13" borderId="13" xfId="0" applyFont="1" applyFill="1" applyBorder="1" applyAlignment="1">
      <alignment horizontal="center" vertical="center"/>
    </xf>
    <xf numFmtId="0" fontId="29" fillId="13" borderId="9" xfId="0" applyFont="1" applyFill="1" applyBorder="1" applyAlignment="1">
      <alignment horizontal="center" vertical="center"/>
    </xf>
    <xf numFmtId="0" fontId="29" fillId="13" borderId="14" xfId="0" applyFont="1" applyFill="1" applyBorder="1" applyAlignment="1">
      <alignment horizontal="center" vertical="center"/>
    </xf>
    <xf numFmtId="0" fontId="10" fillId="4" borderId="8" xfId="1" applyFont="1" applyFill="1" applyBorder="1" applyAlignment="1">
      <alignment horizontal="center" vertical="center" wrapText="1"/>
    </xf>
    <xf numFmtId="0" fontId="10" fillId="4" borderId="6" xfId="1" applyFont="1" applyFill="1" applyBorder="1" applyAlignment="1">
      <alignment horizontal="center" vertical="center" wrapText="1"/>
    </xf>
    <xf numFmtId="0" fontId="10" fillId="4" borderId="3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center" vertical="center" wrapText="1"/>
    </xf>
    <xf numFmtId="0" fontId="10" fillId="4" borderId="3" xfId="1" applyFont="1" applyFill="1" applyBorder="1" applyAlignment="1">
      <alignment horizontal="left" vertical="center" wrapText="1"/>
    </xf>
    <xf numFmtId="0" fontId="10" fillId="4" borderId="4" xfId="1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6">
    <cellStyle name="Hyperlink 2" xfId="2" xr:uid="{C04A2BB3-1CBF-45AA-A368-98A0B795D558}"/>
    <cellStyle name="Hyperlink 3" xfId="5" xr:uid="{C9F329BC-F6F1-4C6F-AF04-F0B99C2AA4D5}"/>
    <cellStyle name="Normal" xfId="0" builtinId="0"/>
    <cellStyle name="Normal 2" xfId="1" xr:uid="{632F912D-F323-43CD-84EE-61E731AEC2D3}"/>
    <cellStyle name="Normal 3" xfId="4" xr:uid="{8715D593-0934-4931-B968-64CEC0EA0242}"/>
    <cellStyle name="Percent" xfId="3" builtinId="5"/>
  </cellStyles>
  <dxfs count="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  <color rgb="FF5F6C7A"/>
        <name val="Arial"/>
        <family val="2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7263B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oper, Marzban GIZ JO" id="{2BDB56F9-A439-455B-A466-7DFFA2A7A4AB}" userId="marzban.cooper@giz.de" providerId="PeoplePicker"/>
  <person displayName="Jayyousi, Ruba GIZ JO" id="{B5EC067D-9302-472C-83D3-5ED3C0CC1715}" userId="S::ruba.jayyousi@giz.de::869ad673-3c75-4491-8e9a-1cb707b7a24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21.419598379631" createdVersion="8" refreshedVersion="8" minRefreshableVersion="3" recordCount="389" xr:uid="{915BD6BE-60D1-424A-8644-AE1D24D08AF1}">
  <cacheSource type="worksheet">
    <worksheetSource name="MapMaster2026"/>
  </cacheSource>
  <cacheFields count="13">
    <cacheField name="E4DE code" numFmtId="0">
      <sharedItems/>
    </cacheField>
    <cacheField name="Activity" numFmtId="0">
      <sharedItems/>
    </cacheField>
    <cacheField name="Startup name" numFmtId="0">
      <sharedItems/>
    </cacheField>
    <cacheField name="Governorate" numFmtId="0">
      <sharedItems/>
    </cacheField>
    <cacheField name="Programme stage" numFmtId="0">
      <sharedItems/>
    </cacheField>
    <cacheField name="Economic sector" numFmtId="0">
      <sharedItems/>
    </cacheField>
    <cacheField name="Participant gender" numFmtId="0">
      <sharedItems/>
    </cacheField>
    <cacheField name="Participant age b-" numFmtId="0">
      <sharedItems containsMixedTypes="1" containsNumber="1" containsInteger="1" minValue="46" maxValue="46"/>
    </cacheField>
    <cacheField name="Nationality" numFmtId="0">
      <sharedItems/>
    </cacheField>
    <cacheField name="ICON status" numFmtId="0">
      <sharedItems count="5">
        <s v="ICON Beneficiry "/>
        <s v="NOT ICON Beneficiry"/>
        <s v="GIZ Jordan"/>
        <s v="ICON-INSTITUTE GmbH &amp; Co. KG"/>
        <s v="ICON" u="1"/>
      </sharedItems>
    </cacheField>
    <cacheField name="Event registration status" numFmtId="0">
      <sharedItems count="3">
        <s v="Registered"/>
        <s v="Not Registered"/>
        <s v="canceled"/>
      </sharedItems>
    </cacheField>
    <cacheField name="Registered attendee records 0/1" numFmtId="0">
      <sharedItems containsSemiMixedTypes="0" containsString="0" containsNumber="1" containsInteger="1" minValue="0" maxValue="4"/>
    </cacheField>
    <cacheField name="Registration matching note" numFmtId="0">
      <sharedItems count="5">
        <s v="Matched to Event Participants (registered)"/>
        <s v="No confirmed active registration match"/>
        <s v="Matched attendee status: canceled"/>
        <s v="Event registered"/>
        <s v="Possible attendee: Khairat Alshobak" u="1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22.749613194443" createdVersion="8" refreshedVersion="8" minRefreshableVersion="3" recordCount="700" xr:uid="{1A8FCD07-6945-4BFA-A2E2-7C4E9BD9F886}">
  <cacheSource type="worksheet">
    <worksheetSource ref="A1:A1048576" sheet="Map master (LENA)"/>
  </cacheSource>
  <cacheFields count="1">
    <cacheField name="E4ED Startups" numFmtId="0">
      <sharedItems containsBlank="1" count="15">
        <m/>
        <s v="Governorate"/>
        <s v="Ajlun"/>
        <s v="Amman"/>
        <s v="Aqaba"/>
        <s v="Balqa"/>
        <s v="Irbid"/>
        <s v="Jarash"/>
        <s v="Karak"/>
        <s v="Maan"/>
        <s v="Madaba"/>
        <s v="Mafraq"/>
        <s v="Tafilah"/>
        <s v="Zarqa"/>
        <s v="Tot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22.755684722222" createdVersion="8" refreshedVersion="8" minRefreshableVersion="3" recordCount="667" xr:uid="{595B09E2-5A71-441F-B6A3-F9E3E406D3C4}">
  <cacheSource type="worksheet">
    <worksheetSource ref="A3:G670" sheet="Map master (LENA)"/>
  </cacheSource>
  <cacheFields count="7">
    <cacheField name="Governorate" numFmtId="0">
      <sharedItems containsBlank="1" count="13">
        <m/>
        <s v="Ajlun"/>
        <s v="Amman"/>
        <s v="Aqaba"/>
        <s v="Balqa"/>
        <s v="Irbid"/>
        <s v="Jarash"/>
        <s v="Karak"/>
        <s v="Maan"/>
        <s v="Madaba"/>
        <s v="Mafraq"/>
        <s v="Tafilah"/>
        <s v="Zarqa"/>
      </sharedItems>
    </cacheField>
    <cacheField name="Total start-ups" numFmtId="0">
      <sharedItems containsString="0" containsBlank="1" containsNumber="1" containsInteger="1" minValue="1" maxValue="1"/>
    </cacheField>
    <cacheField name="Led start-ups" numFmtId="0">
      <sharedItems containsMixedTypes="1" containsNumber="1" containsInteger="1" minValue="0" maxValue="1"/>
    </cacheField>
    <cacheField name="Field4" caption="Field4" numFmtId="0">
      <sharedItems containsMixedTypes="1" containsNumber="1" containsInteger="1" minValue="0" maxValue="1"/>
    </cacheField>
    <cacheField name="Women-led %" numFmtId="0">
      <sharedItems containsString="0" containsBlank="1" containsNumber="1" containsInteger="1" minValue="0" maxValue="1" count="3">
        <m/>
        <n v="1"/>
        <n v="0"/>
      </sharedItems>
    </cacheField>
    <cacheField name="employed" numFmtId="0">
      <sharedItems containsString="0" containsBlank="1" containsNumber="1" containsInteger="1" minValue="0" maxValue="26"/>
    </cacheField>
    <cacheField name="Economic sector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s v="SM253"/>
    <s v="IC-AC-J-13"/>
    <s v="Green Valley Park"/>
    <s v="Ajlun"/>
    <s v="Acceleration"/>
    <s v="Accommodation and food service activities"/>
    <s v="Female"/>
    <s v="25 - 45"/>
    <s v="Jordanian"/>
    <x v="0"/>
    <x v="0"/>
    <n v="1"/>
    <x v="0"/>
  </r>
  <r>
    <s v="SM256"/>
    <s v="IC-AC-J-13"/>
    <s v="Chef Fan / Food and Beverage Catering"/>
    <s v="Ajlun"/>
    <s v="Acceleration"/>
    <s v="Accommodation and food service activities"/>
    <s v="Male"/>
    <s v="25 - 45"/>
    <s v="Jordanian"/>
    <x v="0"/>
    <x v="1"/>
    <n v="0"/>
    <x v="1"/>
  </r>
  <r>
    <s v="SM258"/>
    <s v="IC-AC-J-13"/>
    <s v="Ajloun Cheese and Dairy Products"/>
    <s v="Ajlun"/>
    <s v="Acceleration"/>
    <s v="Manufacturing"/>
    <s v="Female"/>
    <s v="46 - 60"/>
    <s v="Jordanian"/>
    <x v="0"/>
    <x v="0"/>
    <n v="1"/>
    <x v="0"/>
  </r>
  <r>
    <s v="SM259"/>
    <s v="IC-AC-J-13"/>
    <s v="Fringed Shemagh House"/>
    <s v="Ajlun"/>
    <s v="Acceleration"/>
    <s v="Manufacturing"/>
    <s v="Female"/>
    <s v="46 - 60"/>
    <s v="Jordanian"/>
    <x v="0"/>
    <x v="1"/>
    <n v="0"/>
    <x v="1"/>
  </r>
  <r>
    <s v="SM260"/>
    <s v="IC-AC-J-13"/>
    <s v="Rural Pantry House"/>
    <s v="Ajlun"/>
    <s v="Acceleration"/>
    <s v="Accommodation and food service activities"/>
    <s v="Female"/>
    <s v="46 - 60"/>
    <s v="Jordanian"/>
    <x v="0"/>
    <x v="0"/>
    <n v="1"/>
    <x v="0"/>
  </r>
  <r>
    <s v="SM272"/>
    <s v="IC-AC-J-13"/>
    <s v="Reef Al-Yanabee’ Rest Area"/>
    <s v="Ajlun"/>
    <s v="Acceleration"/>
    <s v="Accommodation and food service activities"/>
    <s v="Female"/>
    <s v="25 - 45"/>
    <s v="Jordanian"/>
    <x v="0"/>
    <x v="0"/>
    <n v="1"/>
    <x v="0"/>
  </r>
  <r>
    <s v="SM274"/>
    <s v="IC-AC-J-16"/>
    <s v="Ahmed Al-Qudah Carpentry"/>
    <s v="Ajlun"/>
    <s v="Acceleration"/>
    <s v="Manufacturing"/>
    <s v="Male"/>
    <s v="25 - 45"/>
    <s v="Jordanian"/>
    <x v="0"/>
    <x v="0"/>
    <n v="1"/>
    <x v="0"/>
  </r>
  <r>
    <s v="SM275"/>
    <s v="IC-AC-J-16"/>
    <s v="Fares Al-Sabbagh Tailoring"/>
    <s v="Ajlun"/>
    <s v="Acceleration"/>
    <s v="Manufacturing"/>
    <s v="Male"/>
    <s v="46 - 60"/>
    <s v="Jordanian"/>
    <x v="0"/>
    <x v="0"/>
    <n v="1"/>
    <x v="0"/>
  </r>
  <r>
    <s v="SM281"/>
    <s v="IC-AC-J-16"/>
    <s v="Guesthouse"/>
    <s v="Ajlun"/>
    <s v="Acceleration"/>
    <s v="Accommodation and food service activities"/>
    <s v="Female"/>
    <s v="46 - 60"/>
    <s v="Jordanian"/>
    <x v="0"/>
    <x v="1"/>
    <n v="0"/>
    <x v="1"/>
  </r>
  <r>
    <s v="SM006"/>
    <s v="IC-AC-A-01"/>
    <s v="Agaba gate for waste recycling"/>
    <s v="Aqaba"/>
    <s v="Acceleration"/>
    <s v="Manufacturing"/>
    <s v="Male"/>
    <s v="25 - 45"/>
    <s v="Jordanian"/>
    <x v="0"/>
    <x v="0"/>
    <n v="1"/>
    <x v="0"/>
  </r>
  <r>
    <s v="SM037"/>
    <s v="IC-AC-A-9"/>
    <s v="Community and stories"/>
    <s v="Aqaba"/>
    <s v="Acceleration"/>
    <s v="Accommodation and food service activities"/>
    <s v="Male"/>
    <s v="25 - 45"/>
    <s v="Jordanian"/>
    <x v="0"/>
    <x v="0"/>
    <n v="1"/>
    <x v="0"/>
  </r>
  <r>
    <s v="SM045"/>
    <s v="IC-AC-A-9"/>
    <s v="Galaxy for psychological support"/>
    <s v="Aqaba"/>
    <s v="Acceleration"/>
    <s v="Human health and social work activities"/>
    <s v="Female"/>
    <s v="25 - 45"/>
    <s v="Jordanian"/>
    <x v="0"/>
    <x v="0"/>
    <n v="1"/>
    <x v="0"/>
  </r>
  <r>
    <s v="SM046"/>
    <s v="IC-AC-A-9"/>
    <s v="Secret Fashion"/>
    <s v="Aqaba"/>
    <s v="Acceleration"/>
    <s v="Professional, scientific and technical activities"/>
    <s v="Female"/>
    <s v="25 - 45"/>
    <s v="Jordanian"/>
    <x v="0"/>
    <x v="1"/>
    <n v="0"/>
    <x v="1"/>
  </r>
  <r>
    <s v="SM123"/>
    <s v="IC-AC-A-9"/>
    <s v="Naseer Foundation for Training, Marketing, and Consulting"/>
    <s v="Aqaba"/>
    <s v="Acceleration"/>
    <s v="Arts, entertainment and recreation"/>
    <s v="Female"/>
    <s v="25 - 45"/>
    <s v="Jordanian"/>
    <x v="0"/>
    <x v="0"/>
    <n v="1"/>
    <x v="0"/>
  </r>
  <r>
    <s v="SM127"/>
    <s v="IC-AC-A-9"/>
    <s v="Extra Traveller"/>
    <s v="Aqaba"/>
    <s v="Acceleration"/>
    <s v="Accommodation and food service activities"/>
    <s v="Male"/>
    <s v="25 - 45"/>
    <s v="Jordanian"/>
    <x v="0"/>
    <x v="0"/>
    <n v="1"/>
    <x v="0"/>
  </r>
  <r>
    <s v="SM130"/>
    <s v="IC-AC-A-9"/>
    <s v="Bimakanak"/>
    <s v="Aqaba"/>
    <s v="Acceleration"/>
    <s v="Professional, scientific and technical activities"/>
    <s v="Male"/>
    <s v="25 - 45"/>
    <s v="Jordanian"/>
    <x v="0"/>
    <x v="1"/>
    <n v="0"/>
    <x v="1"/>
  </r>
  <r>
    <s v="SM131"/>
    <s v="IC-AC-A-9"/>
    <s v="Nutrition Specialist Clinic – Safa Al-Dhneibat"/>
    <s v="Aqaba"/>
    <s v="Acceleration"/>
    <s v="Human health and social work activities"/>
    <s v="Female"/>
    <s v="25 - 45"/>
    <s v="Jordanian"/>
    <x v="0"/>
    <x v="0"/>
    <n v="1"/>
    <x v="0"/>
  </r>
  <r>
    <s v="SM138"/>
    <s v="IC-AC-A-9"/>
    <s v="Stationery / Paper products"/>
    <s v="Aqaba"/>
    <s v="Acceleration"/>
    <s v="Professional, scientific and technical activities"/>
    <s v="Female"/>
    <s v="25 - 45"/>
    <s v="Jordanian"/>
    <x v="0"/>
    <x v="0"/>
    <n v="1"/>
    <x v="0"/>
  </r>
  <r>
    <s v="SM139"/>
    <s v="IC-AC-A-9"/>
    <s v="Ever Stitch"/>
    <s v="Aqaba"/>
    <s v="Acceleration"/>
    <s v="Manufacturing"/>
    <s v="Female"/>
    <s v="25 - 45"/>
    <s v="Non-Jordanian"/>
    <x v="0"/>
    <x v="0"/>
    <n v="1"/>
    <x v="0"/>
  </r>
  <r>
    <s v="SM140"/>
    <s v="IC-AC-A-9"/>
    <s v="I offer app"/>
    <s v="Aqaba"/>
    <s v="Acceleration"/>
    <s v="Administrative and support service activities"/>
    <s v="Female"/>
    <s v="25 - 45"/>
    <s v="Jordanian"/>
    <x v="0"/>
    <x v="1"/>
    <n v="0"/>
    <x v="1"/>
  </r>
  <r>
    <s v="SM141"/>
    <s v="IC-AC-A-9"/>
    <s v="jozainah"/>
    <s v="Aqaba"/>
    <s v="Acceleration"/>
    <s v="Administrative and support service activities"/>
    <s v="Male"/>
    <s v="25 - 45"/>
    <s v="Jordanian"/>
    <x v="0"/>
    <x v="1"/>
    <n v="0"/>
    <x v="1"/>
  </r>
  <r>
    <s v="SM166"/>
    <s v="IC-AC-A-9"/>
    <s v="شيري سويت"/>
    <s v="Aqaba"/>
    <s v="Acceleration"/>
    <s v="Manufacturing"/>
    <s v="Female"/>
    <s v="25 - 45"/>
    <s v="Jordanian"/>
    <x v="0"/>
    <x v="1"/>
    <n v="0"/>
    <x v="1"/>
  </r>
  <r>
    <s v="SM493"/>
    <s v="IC-AC-A-23"/>
    <s v="Safety Sequence Plus"/>
    <s v="Aqaba"/>
    <s v="Acceleration"/>
    <s v="Administrative and support service activities"/>
    <s v="Male"/>
    <s v="25 - 45"/>
    <s v="Jordanian"/>
    <x v="0"/>
    <x v="0"/>
    <n v="1"/>
    <x v="0"/>
  </r>
  <r>
    <s v="SM288"/>
    <s v="IC-AC-IR-14"/>
    <s v="Mulsaqat Store for E-Marketing and Consulting"/>
    <s v="Irbid"/>
    <s v="Acceleration"/>
    <s v="Manufacturing"/>
    <s v="Female"/>
    <s v="25 - 45"/>
    <s v="Jordanian"/>
    <x v="0"/>
    <x v="1"/>
    <n v="0"/>
    <x v="1"/>
  </r>
  <r>
    <s v="SM290"/>
    <s v="IC-AC-IR-14"/>
    <s v="Calla Center for Agricultural and Veterinary Services"/>
    <s v="Irbid"/>
    <s v="Acceleration"/>
    <s v="Agriculture, forestry and fishing"/>
    <s v="Male"/>
    <s v="25 - 45"/>
    <s v="Jordanian"/>
    <x v="0"/>
    <x v="1"/>
    <n v="0"/>
    <x v="1"/>
  </r>
  <r>
    <s v="SM291"/>
    <s v="IC-AC-IR-14"/>
    <s v="Natural Pomegranate Goodies"/>
    <s v="Irbid"/>
    <s v="Acceleration"/>
    <s v="Manufacturing"/>
    <s v="Female"/>
    <s v="25 - 45"/>
    <s v="Jordanian"/>
    <x v="0"/>
    <x v="1"/>
    <n v="0"/>
    <x v="1"/>
  </r>
  <r>
    <s v="SM293"/>
    <s v="IC-AC-IR-14"/>
    <s v="Rafa Tailoring"/>
    <s v="Irbid"/>
    <s v="Acceleration"/>
    <s v="Manufacturing"/>
    <s v="Female"/>
    <s v="46 - 60"/>
    <s v="Jordanian"/>
    <x v="0"/>
    <x v="0"/>
    <n v="1"/>
    <x v="0"/>
  </r>
  <r>
    <s v="SM295"/>
    <s v="IC-AC-IR-17"/>
    <s v="Amal Obaidat Workshop"/>
    <s v="Irbid"/>
    <s v="Acceleration"/>
    <s v="Manufacturing"/>
    <s v="Female"/>
    <s v="46 - 60"/>
    <s v="Jordanian"/>
    <x v="0"/>
    <x v="1"/>
    <n v="0"/>
    <x v="1"/>
  </r>
  <r>
    <s v="SM297"/>
    <s v="IC-AC-IR-17"/>
    <s v="iSMI Steel / Metal Furniture Design"/>
    <s v="Irbid"/>
    <s v="Acceleration"/>
    <s v="Manufacturing"/>
    <s v="Male"/>
    <s v="25 - 45"/>
    <s v="Jordanian"/>
    <x v="0"/>
    <x v="1"/>
    <n v="0"/>
    <x v="1"/>
  </r>
  <r>
    <s v="SM018"/>
    <s v="IC-AC-J-01"/>
    <s v="Adam Dairy Factory (Dairy Production)"/>
    <s v="Jarash"/>
    <s v="Acceleration"/>
    <s v="Dairy Production"/>
    <s v="Female"/>
    <s v="46 - 60"/>
    <s v="Jordanian"/>
    <x v="0"/>
    <x v="0"/>
    <n v="1"/>
    <x v="0"/>
  </r>
  <r>
    <s v="SM093"/>
    <s v="IC-AC-J-8"/>
    <s v="Wadi Al-Sham Cottages Resort"/>
    <s v="Jarash"/>
    <s v="Acceleration"/>
    <s v="Accommodation and food service activities"/>
    <s v="Male"/>
    <s v="25 - 45"/>
    <s v="Jordanian"/>
    <x v="0"/>
    <x v="0"/>
    <n v="1"/>
    <x v="0"/>
  </r>
  <r>
    <s v="SM098"/>
    <s v="IC-AC-J-8"/>
    <s v="Beit Reef Jerash"/>
    <s v="Jarash"/>
    <s v="Acceleration"/>
    <s v="Arts, entertainment and recreation"/>
    <s v="Female"/>
    <s v="46 - 60"/>
    <s v="Jordanian"/>
    <x v="0"/>
    <x v="1"/>
    <n v="0"/>
    <x v="1"/>
  </r>
  <r>
    <s v="SM102"/>
    <s v="IC-AC-J-8"/>
    <s v="Beit Khairat Jerash"/>
    <s v="Jarash"/>
    <s v="Acceleration"/>
    <s v="Arts, entertainment and recreation"/>
    <s v="Female"/>
    <s v="46 - 60"/>
    <s v="Jordanian"/>
    <x v="0"/>
    <x v="1"/>
    <n v="0"/>
    <x v="1"/>
  </r>
  <r>
    <s v="SM103"/>
    <s v="IC-AC-J-8"/>
    <s v="Rola Abu Deh Embroideries"/>
    <s v="Jarash"/>
    <s v="Acceleration"/>
    <s v="Manufacturing"/>
    <s v="Female"/>
    <s v="25 - 45"/>
    <s v="Jordanian"/>
    <x v="0"/>
    <x v="0"/>
    <n v="2"/>
    <x v="0"/>
  </r>
  <r>
    <s v="SM104"/>
    <s v="IC-AC-J-8"/>
    <s v="Bisan Aquatic Farm"/>
    <s v="Jarash"/>
    <s v="Acceleration"/>
    <s v="Accommodation and food service activities"/>
    <s v="Female"/>
    <s v="46 - 60"/>
    <s v="Jordanian"/>
    <x v="0"/>
    <x v="0"/>
    <n v="1"/>
    <x v="0"/>
  </r>
  <r>
    <s v="SM107"/>
    <s v="IC-AC-J-8"/>
    <s v="Beit Al-Asala and Al-Iraqi for Folk Heritage"/>
    <s v="Jarash"/>
    <s v="Acceleration"/>
    <s v="Arts, entertainment and recreation"/>
    <s v="Female"/>
    <s v="46 - 60"/>
    <s v="Jordanian"/>
    <x v="0"/>
    <x v="0"/>
    <n v="1"/>
    <x v="0"/>
  </r>
  <r>
    <s v="SM273"/>
    <s v="IC-AC-J-16"/>
    <s v="Omar Outoom / Fashion Design and Upcycling"/>
    <s v="Jarash"/>
    <s v="Acceleration"/>
    <s v="Manufacturing"/>
    <s v="Male"/>
    <s v="25 - 45"/>
    <s v="Jordanian"/>
    <x v="0"/>
    <x v="0"/>
    <n v="1"/>
    <x v="0"/>
  </r>
  <r>
    <s v="SM145"/>
    <s v="IC-AC-K-10"/>
    <s v="Nbaliva"/>
    <s v="Karak"/>
    <s v="Acceleration"/>
    <s v="Manufacturing"/>
    <s v="Female"/>
    <s v="25 - 45"/>
    <s v="Jordanian"/>
    <x v="0"/>
    <x v="0"/>
    <n v="1"/>
    <x v="0"/>
  </r>
  <r>
    <s v="SM146"/>
    <s v="IC-AC-K-10"/>
    <s v="So Ho"/>
    <s v="Karak"/>
    <s v="Acceleration"/>
    <s v="IT soluations"/>
    <s v="Female"/>
    <s v="18 - 24"/>
    <s v="Jordanian"/>
    <x v="0"/>
    <x v="1"/>
    <n v="0"/>
    <x v="1"/>
  </r>
  <r>
    <s v="SM151"/>
    <s v="IC-AC-K-10"/>
    <s v="Hi health technology"/>
    <s v="Karak"/>
    <s v="Acceleration"/>
    <s v="Health technology"/>
    <s v="Male"/>
    <s v="18 - 24"/>
    <s v="Jordanian"/>
    <x v="0"/>
    <x v="1"/>
    <n v="0"/>
    <x v="1"/>
  </r>
  <r>
    <s v="SM152"/>
    <s v="IC-AC-K-10"/>
    <s v="Tulip for guidance"/>
    <s v="Karak"/>
    <s v="Acceleration"/>
    <s v="Manufacturing"/>
    <s v="Female"/>
    <s v="25 - 45"/>
    <s v="Jordanian"/>
    <x v="0"/>
    <x v="1"/>
    <n v="0"/>
    <x v="1"/>
  </r>
  <r>
    <s v="SM153"/>
    <s v="IC-AC-K-10"/>
    <s v="Wissam Kado"/>
    <s v="Karak"/>
    <s v="Acceleration"/>
    <s v="Arts, entertainment and recreation"/>
    <s v="Female"/>
    <s v="25 - 45"/>
    <s v="Jordanian"/>
    <x v="0"/>
    <x v="1"/>
    <n v="0"/>
    <x v="1"/>
  </r>
  <r>
    <s v="SM155"/>
    <s v="IC-AC-K-10"/>
    <s v="Workshop/Service Delivery Application"/>
    <s v="Karak"/>
    <s v="Acceleration"/>
    <s v="Construction"/>
    <s v="Male"/>
    <s v="25 - 45"/>
    <s v="Jordanian"/>
    <x v="0"/>
    <x v="1"/>
    <n v="0"/>
    <x v="1"/>
  </r>
  <r>
    <s v="SM156"/>
    <s v="IC-AC-K-10"/>
    <s v="Al-Karak Jameed House"/>
    <s v="Karak"/>
    <s v="Acceleration"/>
    <s v="Accommodation and food service activities"/>
    <s v="Female"/>
    <s v="25 - 45"/>
    <s v="Jordanian"/>
    <x v="0"/>
    <x v="1"/>
    <n v="0"/>
    <x v="1"/>
  </r>
  <r>
    <s v="SM515"/>
    <s v="IC-AC-K-24"/>
    <s v="Smart Farming System"/>
    <s v="Karak"/>
    <s v="Acceleration"/>
    <s v="Agriculture, forestry and fishing"/>
    <s v="Female"/>
    <s v="25 - 45"/>
    <s v="Jordanian"/>
    <x v="0"/>
    <x v="1"/>
    <n v="0"/>
    <x v="1"/>
  </r>
  <r>
    <s v="SM524"/>
    <s v="IC-AC-K-24"/>
    <s v="Rosaline – Clothing Alteration and Recycling of Old Clothes"/>
    <s v="Karak"/>
    <s v="Acceleration"/>
    <s v="Arts, entertainment and recreation"/>
    <s v="Female"/>
    <s v="25 - 45"/>
    <s v="Jordanian"/>
    <x v="0"/>
    <x v="1"/>
    <n v="0"/>
    <x v="1"/>
  </r>
  <r>
    <s v="SM109"/>
    <s v="IC-AC-M-7"/>
    <s v="Jory farm"/>
    <s v="Mafraq"/>
    <s v="Acceleration"/>
    <s v="Agriculture, forestry and fishing"/>
    <s v="Female"/>
    <s v="25 - 45"/>
    <s v="Jordanian"/>
    <x v="0"/>
    <x v="1"/>
    <n v="0"/>
    <x v="1"/>
  </r>
  <r>
    <s v="SM111"/>
    <s v="IC-AC-M-7"/>
    <s v="New link"/>
    <s v="Mafraq"/>
    <s v="Acceleration"/>
    <s v="Professional, scientific and technical activities"/>
    <s v="Male"/>
    <s v="25 - 45"/>
    <s v="Jordanian"/>
    <x v="0"/>
    <x v="1"/>
    <n v="0"/>
    <x v="1"/>
  </r>
  <r>
    <s v="SM116"/>
    <s v="IC-AC-M-7"/>
    <s v="Eco Ride / Bicycle rental for tourists in tourist areas"/>
    <s v="Mafraq"/>
    <s v="Acceleration"/>
    <s v="Wholesale and retail trade; repair of motor vehicles and motorcycles"/>
    <s v="Female"/>
    <s v="25 - 45"/>
    <s v="Jordanian"/>
    <x v="0"/>
    <x v="1"/>
    <n v="0"/>
    <x v="1"/>
  </r>
  <r>
    <s v="SM118"/>
    <s v="IC-AC-M-7"/>
    <s v="Al-Ghuroob Fashion"/>
    <s v="Mafraq"/>
    <s v="Acceleration"/>
    <s v="Manufacturing"/>
    <s v="Female"/>
    <s v="25 - 45"/>
    <s v="Non-Jordanian"/>
    <x v="0"/>
    <x v="1"/>
    <n v="0"/>
    <x v="1"/>
  </r>
  <r>
    <s v="SM119"/>
    <s v="IC-AC-M-7"/>
    <s v="Roubou Rehab Nursery"/>
    <s v="Mafraq"/>
    <s v="Acceleration"/>
    <s v="Agriculture, forestry and fishing"/>
    <s v="Female"/>
    <s v="25 - 45"/>
    <s v="Jordanian"/>
    <x v="0"/>
    <x v="0"/>
    <n v="2"/>
    <x v="0"/>
  </r>
  <r>
    <s v="SM120"/>
    <s v="IC-AC-M-7"/>
    <s v="Golden Farm"/>
    <s v="Mafraq"/>
    <s v="Acceleration"/>
    <s v="Agriculture, forestry and fishing"/>
    <s v="Female"/>
    <s v="25 - 45"/>
    <s v="Jordanian"/>
    <x v="0"/>
    <x v="1"/>
    <n v="0"/>
    <x v="1"/>
  </r>
  <r>
    <s v="SM121"/>
    <s v="IC-AC-M-7"/>
    <s v="Al-Khairat for Sustainable Agriculture"/>
    <s v="Mafraq"/>
    <s v="Acceleration"/>
    <s v="Agriculture, forestry and fishing"/>
    <s v="Female"/>
    <s v="25 - 45"/>
    <s v="Jordanian"/>
    <x v="0"/>
    <x v="1"/>
    <n v="0"/>
    <x v="1"/>
  </r>
  <r>
    <s v="SM265"/>
    <s v="IC-AC-M-15"/>
    <s v="Desert Bounty for Dried Fruit and Vegetable Production"/>
    <s v="Mafraq"/>
    <s v="Acceleration"/>
    <s v="Manufacturing"/>
    <s v="Female"/>
    <s v="46 - 60"/>
    <s v="Jordanian"/>
    <x v="0"/>
    <x v="1"/>
    <n v="0"/>
    <x v="1"/>
  </r>
  <r>
    <s v="SM267"/>
    <s v="IC-AC-M-15"/>
    <s v="Family Production Kitchen"/>
    <s v="Mafraq"/>
    <s v="Acceleration"/>
    <s v="Accommodation and food service activities"/>
    <s v="Female"/>
    <s v="25 - 45"/>
    <s v="Jordanian"/>
    <x v="0"/>
    <x v="1"/>
    <n v="0"/>
    <x v="1"/>
  </r>
  <r>
    <s v="SM270"/>
    <s v="IC-AC-M-15"/>
    <s v="Tala Farm"/>
    <s v="Mafraq"/>
    <s v="Acceleration"/>
    <s v="Agriculture, forestry and fishing"/>
    <s v="Female"/>
    <s v="25 - 45"/>
    <s v="Jordanian"/>
    <x v="0"/>
    <x v="1"/>
    <n v="0"/>
    <x v="1"/>
  </r>
  <r>
    <s v="SM271"/>
    <s v="IC-AC-M-15"/>
    <s v="Rawafid for Digital Transformation"/>
    <s v="Mafraq"/>
    <s v="Acceleration"/>
    <s v="Administrative and support service activities"/>
    <s v="Male"/>
    <s v="25 - 45"/>
    <s v="Jordanian"/>
    <x v="0"/>
    <x v="1"/>
    <n v="0"/>
    <x v="1"/>
  </r>
  <r>
    <s v="SM432"/>
    <s v="IC-LN-A-22"/>
    <s v="Zahrat Al-Baylisan for heritage revival"/>
    <s v="Aqaba"/>
    <s v="Go to Market"/>
    <s v="Manufacturing"/>
    <s v="Female"/>
    <s v="46 - 60"/>
    <s v="Jordanian"/>
    <x v="0"/>
    <x v="1"/>
    <n v="0"/>
    <x v="1"/>
  </r>
  <r>
    <s v="SM442"/>
    <s v="IC-LN-A-22"/>
    <s v="Aya Al-Momani for Jewelry"/>
    <s v="Aqaba"/>
    <s v="Go to Market"/>
    <s v="Manufacturing"/>
    <s v="Female"/>
    <s v="25 - 45"/>
    <s v="Jordanian"/>
    <x v="0"/>
    <x v="1"/>
    <n v="0"/>
    <x v="1"/>
  </r>
  <r>
    <s v="SM452"/>
    <s v="IC-LN-A-22"/>
    <s v="Al Amouri Paper Industries"/>
    <s v="Aqaba"/>
    <s v="Go to Market"/>
    <s v="Manufacturing"/>
    <s v="Male"/>
    <s v="25 - 45"/>
    <s v="Jordanian"/>
    <x v="0"/>
    <x v="0"/>
    <n v="1"/>
    <x v="0"/>
  </r>
  <r>
    <s v="SM455"/>
    <s v="IC-LN-A-22"/>
    <s v="Aqaba Recreational Complex"/>
    <s v="Aqaba"/>
    <s v="Go to Market"/>
    <s v="Arts, entertainment and recreation"/>
    <s v="Male"/>
    <s v="25 - 45"/>
    <s v="Jordanian"/>
    <x v="0"/>
    <x v="1"/>
    <n v="0"/>
    <x v="1"/>
  </r>
  <r>
    <s v="SM459"/>
    <s v="IC-LN-A-22"/>
    <s v="Nova Music for Training and Consultancy"/>
    <s v="Aqaba"/>
    <s v="Go to Market"/>
    <s v="Education"/>
    <s v="Female"/>
    <s v="25 - 45"/>
    <s v="Jordanian"/>
    <x v="0"/>
    <x v="0"/>
    <n v="1"/>
    <x v="0"/>
  </r>
  <r>
    <s v="SM472"/>
    <s v="IC-LN-A-22"/>
    <s v="Nichan"/>
    <s v="Aqaba"/>
    <s v="Go to Market"/>
    <s v="Arts, entertainment and recreation"/>
    <s v="Female"/>
    <s v="25 - 45"/>
    <s v="Jordanian"/>
    <x v="0"/>
    <x v="0"/>
    <n v="1"/>
    <x v="0"/>
  </r>
  <r>
    <s v="SM359"/>
    <s v="IC-LN-J-21"/>
    <s v="Photo Batool"/>
    <s v="Jarash"/>
    <s v="Go to Market"/>
    <s v="Arts, entertainment and recreation"/>
    <s v="Female"/>
    <s v="25 - 45"/>
    <s v="Non-Jordanian"/>
    <x v="0"/>
    <x v="1"/>
    <n v="0"/>
    <x v="1"/>
  </r>
  <r>
    <s v="SM347"/>
    <s v="IC-LN-M-20"/>
    <s v="Hala Chocolate"/>
    <s v="Mafraq"/>
    <s v="Go to Market"/>
    <s v="Human health and social work activities"/>
    <s v="Female"/>
    <s v="25 - 45"/>
    <s v="Jordanian"/>
    <x v="0"/>
    <x v="0"/>
    <n v="1"/>
    <x v="0"/>
  </r>
  <r>
    <s v="SM373"/>
    <s v="IC-LN-M-20"/>
    <s v="Heritage House"/>
    <s v="Mafraq"/>
    <s v="Go to Market"/>
    <s v="Manufacturing"/>
    <s v="Female"/>
    <s v="25 - 45"/>
    <s v="Jordanian"/>
    <x v="0"/>
    <x v="0"/>
    <n v="1"/>
    <x v="0"/>
  </r>
  <r>
    <s v="SM388"/>
    <s v="IC-LN-M-20"/>
    <s v="Royal Tailoring"/>
    <s v="Mafraq"/>
    <s v="Go to Market"/>
    <s v="Manufacturing"/>
    <s v="Female"/>
    <s v="46 - 60"/>
    <s v="Jordanian"/>
    <x v="0"/>
    <x v="1"/>
    <n v="0"/>
    <x v="1"/>
  </r>
  <r>
    <s v="SM420"/>
    <s v="IC-LN-M-20"/>
    <s v="Umm Karam Kitchen"/>
    <s v="Mafraq"/>
    <s v="Go to Market"/>
    <s v="Human health and social work activities"/>
    <s v="Female"/>
    <s v="25 - 45"/>
    <s v="Jordanian"/>
    <x v="0"/>
    <x v="0"/>
    <n v="1"/>
    <x v="0"/>
  </r>
  <r>
    <s v="SM421"/>
    <s v="IC-LN-M-20"/>
    <s v="Noor Food Manufacturing Project"/>
    <s v="Mafraq"/>
    <s v="Go to Market"/>
    <s v="Manufacturing"/>
    <s v="Female"/>
    <s v="46 - 60"/>
    <s v="Jordanian"/>
    <x v="0"/>
    <x v="1"/>
    <n v="0"/>
    <x v="1"/>
  </r>
  <r>
    <s v="SM856"/>
    <s v="IC-G+-28"/>
    <s v="Kudzu.ai"/>
    <s v="Amman"/>
    <s v="Grow+"/>
    <s v="Arts, entertainment and recreation"/>
    <s v="Male"/>
    <s v="25 - 45"/>
    <s v="Jordanian"/>
    <x v="0"/>
    <x v="1"/>
    <n v="0"/>
    <x v="1"/>
  </r>
  <r>
    <s v="SM857"/>
    <s v="IC-G+-28"/>
    <s v="The Stadium Gaming"/>
    <s v="Amman"/>
    <s v="Grow+"/>
    <s v="Arts, entertainment and recreation"/>
    <s v="Male"/>
    <s v="25 - 45"/>
    <s v="Jordanian"/>
    <x v="0"/>
    <x v="1"/>
    <n v="0"/>
    <x v="1"/>
  </r>
  <r>
    <s v="SM859"/>
    <s v="IC-G+-28"/>
    <s v="Virtual Data IT"/>
    <s v="Amman"/>
    <s v="Grow+"/>
    <s v="Education"/>
    <s v="Male"/>
    <s v="25 - 45"/>
    <s v="Jordanian"/>
    <x v="0"/>
    <x v="0"/>
    <n v="1"/>
    <x v="0"/>
  </r>
  <r>
    <s v="SM860"/>
    <s v="IC-G+-28"/>
    <s v="Kassel For Information Technology"/>
    <s v="Amman"/>
    <s v="Grow+"/>
    <s v="Information and communication"/>
    <s v="Male"/>
    <s v="18 - 24"/>
    <s v="Jordanian"/>
    <x v="0"/>
    <x v="0"/>
    <n v="1"/>
    <x v="0"/>
  </r>
  <r>
    <s v="SM861"/>
    <s v="IC-G+-28"/>
    <s v="LIME Information Technology"/>
    <s v="Amman"/>
    <s v="Grow+"/>
    <s v="Information and communication"/>
    <s v="Male"/>
    <s v="Above 60"/>
    <s v="Jordanian"/>
    <x v="0"/>
    <x v="1"/>
    <n v="0"/>
    <x v="1"/>
  </r>
  <r>
    <s v="SM862"/>
    <s v="IC-G+-28"/>
    <s v="Koshk"/>
    <s v="Amman"/>
    <s v="Grow+"/>
    <s v="Real estate activities"/>
    <s v="Male"/>
    <s v="25 - 45"/>
    <s v="Jordanian"/>
    <x v="0"/>
    <x v="0"/>
    <n v="1"/>
    <x v="0"/>
  </r>
  <r>
    <s v="SM864"/>
    <s v="IC-G+-28"/>
    <s v="OLITEC for Agribusiness"/>
    <s v="Amman"/>
    <s v="Grow+"/>
    <s v="Agriculture, forestry and fishing"/>
    <s v="Male"/>
    <s v="25 - 45"/>
    <s v="Jordanian"/>
    <x v="0"/>
    <x v="1"/>
    <n v="0"/>
    <x v="1"/>
  </r>
  <r>
    <s v="SM865"/>
    <s v="IC-G+-28"/>
    <s v="Kina Jo"/>
    <s v="Amman"/>
    <s v="Grow+"/>
    <s v="Manufacturing"/>
    <s v="Male"/>
    <s v="25 - 45"/>
    <s v="Jordanian"/>
    <x v="0"/>
    <x v="1"/>
    <n v="0"/>
    <x v="1"/>
  </r>
  <r>
    <s v="SM866"/>
    <s v="IC-G+-28"/>
    <s v="iCASH"/>
    <s v="Amman"/>
    <s v="Grow+"/>
    <s v="Financial and insurance activities"/>
    <s v="Male"/>
    <s v="25 - 45"/>
    <s v="Jordanian"/>
    <x v="0"/>
    <x v="0"/>
    <n v="1"/>
    <x v="0"/>
  </r>
  <r>
    <s v="SM867"/>
    <s v="IC-G+-28"/>
    <s v="Novo Wavo Company"/>
    <s v="Amman"/>
    <s v="Grow+"/>
    <s v="Manufacturing"/>
    <s v="Male"/>
    <s v="25 - 45"/>
    <s v="Jordanian"/>
    <x v="0"/>
    <x v="0"/>
    <n v="1"/>
    <x v="0"/>
  </r>
  <r>
    <s v="SM908"/>
    <s v="IC-G+-28"/>
    <s v="Nemah Feed"/>
    <s v="Amman"/>
    <s v="Grow+"/>
    <s v="Manufacturing"/>
    <s v="Male"/>
    <s v="25 - 45"/>
    <s v="Jordanian"/>
    <x v="0"/>
    <x v="0"/>
    <n v="1"/>
    <x v="0"/>
  </r>
  <r>
    <s v="SM910"/>
    <s v="IC-G+-28"/>
    <s v="Hypofarm"/>
    <s v="Amman"/>
    <s v="Grow+"/>
    <s v="Agriculture, forestry and fishing"/>
    <s v="Male"/>
    <s v="25 - 45"/>
    <s v="Jordanian"/>
    <x v="0"/>
    <x v="1"/>
    <n v="0"/>
    <x v="1"/>
  </r>
  <r>
    <s v="SM851"/>
    <s v="IC-G+-28"/>
    <s v="Blue Sky Drones"/>
    <s v="Aqaba"/>
    <s v="Grow+"/>
    <s v="Administrative and support service activities"/>
    <s v="Male"/>
    <s v="25 - 45"/>
    <s v="Jordanian"/>
    <x v="0"/>
    <x v="0"/>
    <n v="1"/>
    <x v="0"/>
  </r>
  <r>
    <s v="SM853"/>
    <s v="IC-G+-28"/>
    <s v="Envision Company"/>
    <s v="Irbid"/>
    <s v="Grow+"/>
    <s v="Information and communication"/>
    <s v="Male"/>
    <s v="25 - 45"/>
    <s v="Jordanian"/>
    <x v="0"/>
    <x v="0"/>
    <n v="1"/>
    <x v="0"/>
  </r>
  <r>
    <s v="SM854"/>
    <s v="IC-G+-28"/>
    <s v="Gerasa Handmade Leather"/>
    <s v="Jarash"/>
    <s v="Grow+"/>
    <s v="Manufacturing"/>
    <s v="Male"/>
    <s v="25 - 45"/>
    <s v="Jordanian"/>
    <x v="0"/>
    <x v="1"/>
    <n v="0"/>
    <x v="1"/>
  </r>
  <r>
    <s v="SM869"/>
    <s v="IC-G+-28"/>
    <s v="TecMedia"/>
    <s v="Karak"/>
    <s v="Grow+"/>
    <s v="Information and communication"/>
    <s v="Male"/>
    <s v="25 - 45"/>
    <s v="Jordanian"/>
    <x v="0"/>
    <x v="1"/>
    <n v="0"/>
    <x v="1"/>
  </r>
  <r>
    <s v="SM254"/>
    <s v="IC-AC-J-13"/>
    <s v="Jordanian Turmeric"/>
    <s v="Ajlun"/>
    <s v="Acceleration"/>
    <s v="Agriculture, forestry and fishing"/>
    <s v="Male"/>
    <s v="25 - 45"/>
    <s v="Jordanian"/>
    <x v="0"/>
    <x v="1"/>
    <n v="0"/>
    <x v="1"/>
  </r>
  <r>
    <s v="SM257"/>
    <s v="IC-AC-J-13"/>
    <s v="Akla &amp; Fatla"/>
    <s v="Ajlun"/>
    <s v="Acceleration"/>
    <s v="Accommodation and food service activities"/>
    <s v="Female"/>
    <s v="25 - 45"/>
    <s v="Jordanian"/>
    <x v="0"/>
    <x v="1"/>
    <n v="0"/>
    <x v="1"/>
  </r>
  <r>
    <s v="SM261"/>
    <s v="IC-AC-J-13"/>
    <s v="Karakosh Park and Cabins – Smurfs City"/>
    <s v="Ajlun"/>
    <s v="Acceleration"/>
    <s v="Accommodation and food service activities"/>
    <s v="Female"/>
    <s v="25 - 45"/>
    <s v="Jordanian"/>
    <x v="0"/>
    <x v="1"/>
    <n v="0"/>
    <x v="1"/>
  </r>
  <r>
    <s v="SM262"/>
    <s v="IC-AC-J-13"/>
    <s v="Bayt Khairat Ajloun Restaurant"/>
    <s v="Ajlun"/>
    <s v="Acceleration"/>
    <s v="Accommodation and food service activities"/>
    <s v="Female"/>
    <s v="25 - 45"/>
    <s v="Jordanian"/>
    <x v="0"/>
    <x v="1"/>
    <n v="0"/>
    <x v="1"/>
  </r>
  <r>
    <s v="SM279"/>
    <s v="IC-AC-J-16"/>
    <s v="Nature House Workshop / Handicrafts and Recycling"/>
    <s v="Ajlun"/>
    <s v="Acceleration"/>
    <s v="Manufacturing"/>
    <s v="Male"/>
    <s v="25 - 45"/>
    <s v="Jordanian"/>
    <x v="0"/>
    <x v="0"/>
    <n v="1"/>
    <x v="0"/>
  </r>
  <r>
    <s v="SM007"/>
    <s v="IC-AC-A-9"/>
    <s v="CertiDive"/>
    <s v="Aqaba"/>
    <s v="Acceleration"/>
    <s v="Arts, entertainment and recreation"/>
    <s v="Male"/>
    <s v="25 - 45"/>
    <s v="Jordanian"/>
    <x v="0"/>
    <x v="0"/>
    <n v="1"/>
    <x v="0"/>
  </r>
  <r>
    <s v="SM050"/>
    <s v="IC-AC-A-23"/>
    <s v="Sajida Al-Huwaitat Designs"/>
    <s v="Aqaba"/>
    <s v="Acceleration"/>
    <s v="Manufacturing"/>
    <s v="Female"/>
    <s v="25 - 45"/>
    <s v="Jordanian"/>
    <x v="0"/>
    <x v="1"/>
    <n v="0"/>
    <x v="1"/>
  </r>
  <r>
    <s v="SM057"/>
    <s v="IC-AC-A-9"/>
    <s v="Aqabawi Art &amp; Culture Studio"/>
    <s v="Aqaba"/>
    <s v="Acceleration"/>
    <s v="Arts, entertainment and recreation"/>
    <s v="Male"/>
    <s v="25 - 45"/>
    <s v="Jordanian"/>
    <x v="0"/>
    <x v="1"/>
    <n v="0"/>
    <x v="1"/>
  </r>
  <r>
    <s v="SM059"/>
    <s v="IC-AC-A-9"/>
    <s v="Inspact"/>
    <s v="Aqaba"/>
    <s v="Acceleration"/>
    <s v="Real estate activities"/>
    <s v="Female"/>
    <s v="25 - 45"/>
    <s v="Jordanian"/>
    <x v="0"/>
    <x v="1"/>
    <n v="0"/>
    <x v="1"/>
  </r>
  <r>
    <s v="SM124"/>
    <s v="IC-AC-A-9"/>
    <s v="Daily Laborers App"/>
    <s v="Aqaba"/>
    <s v="Acceleration"/>
    <s v="Professional, scientific and technical activities"/>
    <s v="Male"/>
    <s v="25 - 45"/>
    <s v="Jordanian"/>
    <x v="0"/>
    <x v="0"/>
    <n v="2"/>
    <x v="0"/>
  </r>
  <r>
    <s v="SM125"/>
    <s v="IC-AC-A-9"/>
    <s v="Farah House"/>
    <s v="Aqaba"/>
    <s v="Acceleration"/>
    <s v="Construction"/>
    <s v="Female"/>
    <s v="25 - 45"/>
    <s v="Jordanian"/>
    <x v="0"/>
    <x v="0"/>
    <n v="1"/>
    <x v="0"/>
  </r>
  <r>
    <s v="SM126"/>
    <s v="IC-AC-A-9"/>
    <s v="Al-Arkan Al-Masiyah for Accounting, Tax Consulting, and Training"/>
    <s v="Aqaba"/>
    <s v="Acceleration"/>
    <s v="Financial and insurance activities"/>
    <s v="Female"/>
    <s v="25 - 45"/>
    <s v="Jordanian"/>
    <x v="0"/>
    <x v="0"/>
    <n v="1"/>
    <x v="0"/>
  </r>
  <r>
    <s v="SM128"/>
    <s v="IC-AC-A-9"/>
    <s v="Choco Shell"/>
    <s v="Aqaba"/>
    <s v="Acceleration"/>
    <s v="Manufacturing"/>
    <s v="Female"/>
    <s v="25 - 45"/>
    <s v="Jordanian"/>
    <x v="0"/>
    <x v="1"/>
    <n v="0"/>
    <x v="1"/>
  </r>
  <r>
    <s v="SM129"/>
    <s v="IC-AC-A-9"/>
    <s v="Bite by the sea"/>
    <s v="Aqaba"/>
    <s v="Acceleration"/>
    <s v="Accommodation and food service activities"/>
    <s v="Female"/>
    <s v="46 - 60"/>
    <s v="Jordanian"/>
    <x v="0"/>
    <x v="0"/>
    <n v="1"/>
    <x v="0"/>
  </r>
  <r>
    <s v="SM132"/>
    <s v="IC-AC-A-9"/>
    <s v="Friends"/>
    <s v="Aqaba"/>
    <s v="Acceleration"/>
    <s v="Manufacturing"/>
    <s v="Female"/>
    <s v="25 - 45"/>
    <s v="Jordanian"/>
    <x v="0"/>
    <x v="0"/>
    <n v="2"/>
    <x v="0"/>
  </r>
  <r>
    <s v="SM133"/>
    <s v="IC-AC-A-9"/>
    <s v="Afaq Al-Ghad Company for Information Technology and Systems"/>
    <s v="Aqaba"/>
    <s v="Acceleration"/>
    <s v="Information and communication"/>
    <s v="Male"/>
    <s v="25 - 45"/>
    <s v="Jordanian"/>
    <x v="0"/>
    <x v="1"/>
    <n v="0"/>
    <x v="1"/>
  </r>
  <r>
    <s v="SM479"/>
    <s v="IC-AC-A-23"/>
    <s v="Starfish Art Studio"/>
    <s v="Aqaba"/>
    <s v="Acceleration"/>
    <s v="Arts, entertainment and recreation"/>
    <s v="Female"/>
    <s v="25 - 45"/>
    <s v="Jordanian"/>
    <x v="0"/>
    <x v="1"/>
    <n v="0"/>
    <x v="1"/>
  </r>
  <r>
    <s v="SM480"/>
    <s v="IC-AC-A-23"/>
    <s v="Blue Team Foundation for Underwater Sea Cleaning"/>
    <s v="Aqaba"/>
    <s v="Acceleration"/>
    <s v="Water supply; sewerage, waste management and remediation activities"/>
    <s v="Female"/>
    <s v="25 - 45"/>
    <s v="Jordanian"/>
    <x v="0"/>
    <x v="1"/>
    <n v="0"/>
    <x v="1"/>
  </r>
  <r>
    <s v="SM481"/>
    <s v="IC-AC-A-23"/>
    <s v="2Beans90plus"/>
    <s v="Aqaba"/>
    <s v="Acceleration"/>
    <s v="Education"/>
    <s v="Male"/>
    <s v="18 - 24"/>
    <s v="Jordanian"/>
    <x v="0"/>
    <x v="1"/>
    <n v="0"/>
    <x v="1"/>
  </r>
  <r>
    <s v="SM482"/>
    <s v="IC-AC-A-23"/>
    <s v="Maher Abdul Haq &amp; Partners Company"/>
    <s v="Aqaba"/>
    <s v="Acceleration"/>
    <s v="Administrative and support service activities"/>
    <s v="Male"/>
    <s v="25 - 45"/>
    <s v="Jordanian"/>
    <x v="0"/>
    <x v="1"/>
    <n v="0"/>
    <x v="1"/>
  </r>
  <r>
    <s v="SM483"/>
    <s v="IC-AC-A-23"/>
    <s v="Suzan Turban"/>
    <s v="Aqaba"/>
    <s v="Acceleration"/>
    <s v="Manufacturing"/>
    <s v="Female"/>
    <s v="25 - 45"/>
    <s v="Jordanian"/>
    <x v="0"/>
    <x v="1"/>
    <n v="0"/>
    <x v="1"/>
  </r>
  <r>
    <s v="SM484"/>
    <s v="IC-AC-A-23"/>
    <s v="Al-Hayat Kitchen for Gluten-Free Products"/>
    <s v="Aqaba"/>
    <s v="Acceleration"/>
    <s v="Manufacturing"/>
    <s v="Female"/>
    <s v="46 - 60"/>
    <s v="Jordanian"/>
    <x v="0"/>
    <x v="1"/>
    <n v="0"/>
    <x v="1"/>
  </r>
  <r>
    <s v="SM485"/>
    <s v="IC-AC-A-23"/>
    <s v="Thaghr Aqaba Academy for Sports Training"/>
    <s v="Aqaba"/>
    <s v="Acceleration"/>
    <s v="Arts, entertainment and recreation"/>
    <s v="Male"/>
    <s v="25 - 45"/>
    <s v="Jordanian"/>
    <x v="0"/>
    <x v="1"/>
    <n v="0"/>
    <x v="1"/>
  </r>
  <r>
    <s v="SM486"/>
    <s v="IC-AC-A-23"/>
    <s v="Website Brokerage Services"/>
    <s v="Aqaba"/>
    <s v="Acceleration"/>
    <s v="Wholesale and retail trade; repair of motor vehicles and motorcycles"/>
    <s v="Female"/>
    <s v="25 - 45"/>
    <s v="Jordanian"/>
    <x v="0"/>
    <x v="0"/>
    <n v="1"/>
    <x v="0"/>
  </r>
  <r>
    <s v="SM488"/>
    <s v="IC-AC-A-23"/>
    <s v="SpeedGo"/>
    <s v="Aqaba"/>
    <s v="Acceleration"/>
    <s v="Transportation and storage"/>
    <s v="Male"/>
    <s v="25 - 45"/>
    <s v="Jordanian"/>
    <x v="0"/>
    <x v="1"/>
    <n v="0"/>
    <x v="1"/>
  </r>
  <r>
    <s v="SM490"/>
    <s v="IC-AC-A-23"/>
    <s v="Fawaz Sport Store"/>
    <s v="Aqaba"/>
    <s v="Acceleration"/>
    <s v="Arts, entertainment and recreation"/>
    <s v="Male"/>
    <s v="25 - 45"/>
    <s v="Jordanian"/>
    <x v="0"/>
    <x v="1"/>
    <n v="0"/>
    <x v="1"/>
  </r>
  <r>
    <s v="SM491"/>
    <s v="IC-AC-A-23"/>
    <s v="Peace Star for Digital Services"/>
    <s v="Aqaba"/>
    <s v="Acceleration"/>
    <s v="Administrative and support service activities"/>
    <s v="Female"/>
    <s v="25 - 45"/>
    <s v="Jordanian"/>
    <x v="0"/>
    <x v="1"/>
    <n v="0"/>
    <x v="1"/>
  </r>
  <r>
    <s v="SM492"/>
    <s v="IC-AC-A-23"/>
    <s v="Zaro"/>
    <s v="Aqaba"/>
    <s v="Acceleration"/>
    <s v="Information and communication"/>
    <s v="Male"/>
    <s v="25 - 45"/>
    <s v="Jordanian"/>
    <x v="0"/>
    <x v="1"/>
    <n v="0"/>
    <x v="1"/>
  </r>
  <r>
    <s v="SM494"/>
    <s v="IC-AC-A-23"/>
    <s v="Hashtag Uniform"/>
    <s v="Aqaba"/>
    <s v="Acceleration"/>
    <s v="Manufacturing"/>
    <s v="Female"/>
    <s v="25 - 45"/>
    <s v="Jordanian"/>
    <x v="0"/>
    <x v="1"/>
    <n v="0"/>
    <x v="1"/>
  </r>
  <r>
    <s v="SM495"/>
    <s v="IC-AC-A-23"/>
    <s v="Al-Walaa Studio"/>
    <s v="Aqaba"/>
    <s v="Acceleration"/>
    <s v="Professional, scientific and technical activities"/>
    <s v="Female"/>
    <s v="25 - 45"/>
    <s v="Jordanian"/>
    <x v="0"/>
    <x v="1"/>
    <n v="0"/>
    <x v="1"/>
  </r>
  <r>
    <s v="SM496"/>
    <s v="IC-AC-A-23"/>
    <s v="Golden Oil"/>
    <s v="Aqaba"/>
    <s v="Acceleration"/>
    <s v="Manufacturing"/>
    <s v="Female"/>
    <s v="25 - 45"/>
    <s v="Jordanian"/>
    <x v="0"/>
    <x v="1"/>
    <n v="0"/>
    <x v="1"/>
  </r>
  <r>
    <s v="SM497"/>
    <s v="IC-AC-A-23"/>
    <s v="Karam Aliweh Marketing Services Establishment"/>
    <s v="Aqaba"/>
    <s v="Acceleration"/>
    <s v="Financial and insurance activities"/>
    <s v="Male"/>
    <s v="25 - 45"/>
    <s v="Jordanian"/>
    <x v="0"/>
    <x v="1"/>
    <n v="0"/>
    <x v="1"/>
  </r>
  <r>
    <s v="SM500"/>
    <s v="IC-AC-A-23"/>
    <s v="Suhaila Experia – Local Experiences"/>
    <s v="Aqaba"/>
    <s v="Acceleration"/>
    <s v="Arts, entertainment and recreation"/>
    <s v="Male"/>
    <s v="25 - 45"/>
    <s v="Jordanian"/>
    <x v="0"/>
    <x v="1"/>
    <n v="0"/>
    <x v="1"/>
  </r>
  <r>
    <s v="SM501"/>
    <s v="IC-AC-A-23"/>
    <s v="Reehana"/>
    <s v="Aqaba"/>
    <s v="Acceleration"/>
    <s v="Manufacturing"/>
    <s v="Female"/>
    <s v="18 - 24"/>
    <s v="Jordanian"/>
    <x v="0"/>
    <x v="1"/>
    <n v="0"/>
    <x v="1"/>
  </r>
  <r>
    <s v="SM521"/>
    <s v="IC-AC-A-23"/>
    <s v="Al-Andalus Gate"/>
    <s v="Aqaba"/>
    <s v="Acceleration"/>
    <s v="Arts, entertainment and recreation"/>
    <s v="Male"/>
    <s v="25 - 45"/>
    <s v="Jordanian"/>
    <x v="0"/>
    <x v="1"/>
    <n v="0"/>
    <x v="1"/>
  </r>
  <r>
    <s v="SM287"/>
    <s v="IC-AC-IR-14"/>
    <s v="Olively Resin"/>
    <s v="Irbid"/>
    <s v="Acceleration"/>
    <s v="Manufacturing"/>
    <s v="Male"/>
    <s v="25 - 45"/>
    <s v="Jordanian"/>
    <x v="0"/>
    <x v="0"/>
    <n v="1"/>
    <x v="0"/>
  </r>
  <r>
    <s v="SM289"/>
    <s v="IC-AC-IR-14"/>
    <s v="Zan Resin"/>
    <s v="Irbid"/>
    <s v="Acceleration"/>
    <s v="Manufacturing"/>
    <s v="Female"/>
    <s v="25 - 45"/>
    <s v="Jordanian"/>
    <x v="0"/>
    <x v="1"/>
    <n v="0"/>
    <x v="1"/>
  </r>
  <r>
    <s v="SM292"/>
    <s v="IC-AC-IR-14"/>
    <s v="The Craftsman: Past and Present – Mix Mo / Mosaic Production"/>
    <s v="Irbid"/>
    <s v="Acceleration"/>
    <s v="Manufacturing"/>
    <s v="Male"/>
    <s v="25 - 45"/>
    <s v="Non-Jordanian"/>
    <x v="0"/>
    <x v="1"/>
    <n v="0"/>
    <x v="1"/>
  </r>
  <r>
    <s v="SM296"/>
    <s v="IC-AC-IR-17"/>
    <s v="Habat Helwa / Event Catering and Dark Chocolate Production"/>
    <s v="Irbid"/>
    <s v="Acceleration"/>
    <s v="Manufacturing"/>
    <s v="Female"/>
    <s v="25 - 45"/>
    <s v="Jordanian"/>
    <x v="0"/>
    <x v="1"/>
    <n v="0"/>
    <x v="1"/>
  </r>
  <r>
    <s v="SM300"/>
    <s v="IC-AC-IR-17"/>
    <s v="Super Car / Car Dry-Cleaning Service"/>
    <s v="Irbid"/>
    <s v="Acceleration"/>
    <s v="Wholesale and retail trade; repair of motor vehicles and motorcycles"/>
    <s v="Male"/>
    <s v="25 - 45"/>
    <s v="Non-Jordanian"/>
    <x v="0"/>
    <x v="1"/>
    <n v="0"/>
    <x v="1"/>
  </r>
  <r>
    <s v="SM301"/>
    <s v="IC-AC-IR-14"/>
    <s v="Color and Enjoy Foundation for Gypsum Activities"/>
    <s v="Irbid"/>
    <s v="Acceleration"/>
    <s v="Manufacturing"/>
    <s v="Male"/>
    <s v="25 - 45"/>
    <s v="Jordanian"/>
    <x v="0"/>
    <x v="1"/>
    <n v="0"/>
    <x v="1"/>
  </r>
  <r>
    <s v="SM302"/>
    <s v="IC-AC-IR-17"/>
    <s v="Zuhair Station for Drinking Water Supply"/>
    <s v="Irbid"/>
    <s v="Acceleration"/>
    <s v="Manufacturing"/>
    <s v="Male"/>
    <s v="25 - 45"/>
    <s v="Jordanian"/>
    <x v="0"/>
    <x v="1"/>
    <n v="0"/>
    <x v="1"/>
  </r>
  <r>
    <s v="SM097"/>
    <s v="IC-AC-J-8"/>
    <s v="Beit Al-Sultan"/>
    <s v="Jarash"/>
    <s v="Acceleration"/>
    <s v="Manufacturing"/>
    <s v="Female"/>
    <s v="46 - 60"/>
    <s v="Jordanian"/>
    <x v="0"/>
    <x v="0"/>
    <n v="1"/>
    <x v="0"/>
  </r>
  <r>
    <s v="SM099"/>
    <s v="IC-AC-J-8"/>
    <s v="Ayoosh Crochet"/>
    <s v="Jarash"/>
    <s v="Acceleration"/>
    <s v="Manufacturing"/>
    <s v="Female"/>
    <s v="25 - 45"/>
    <s v="Jordanian"/>
    <x v="0"/>
    <x v="1"/>
    <n v="0"/>
    <x v="1"/>
  </r>
  <r>
    <s v="SM100"/>
    <s v="IC-AC-J-8"/>
    <s v="Kaibar Health Water Station"/>
    <s v="Jarash"/>
    <s v="Acceleration"/>
    <s v="Manufacturing"/>
    <s v="Male"/>
    <s v="25 - 45"/>
    <s v="Jordanian"/>
    <x v="0"/>
    <x v="1"/>
    <n v="0"/>
    <x v="1"/>
  </r>
  <r>
    <s v="SM105"/>
    <s v="IC-AC-J-8"/>
    <s v="Crative fox midia"/>
    <s v="Jarash"/>
    <s v="Acceleration"/>
    <s v="Human health and social work activities"/>
    <s v="Female"/>
    <s v="25 - 45"/>
    <s v="Jordanian"/>
    <x v="0"/>
    <x v="1"/>
    <n v="0"/>
    <x v="1"/>
  </r>
  <r>
    <s v="SM277"/>
    <s v="IC-AC-J-16"/>
    <s v="Green Land for Aquaponics"/>
    <s v="Jarash"/>
    <s v="Acceleration"/>
    <s v="Agriculture, forestry and fishing"/>
    <s v="Male"/>
    <s v="25 - 45"/>
    <s v="Jordanian"/>
    <x v="0"/>
    <x v="0"/>
    <n v="1"/>
    <x v="0"/>
  </r>
  <r>
    <s v="SM025"/>
    <s v="IC-AC-K-01"/>
    <s v="Nasjeh apparels industry"/>
    <s v="Karak"/>
    <s v="Acceleration"/>
    <s v="Manufacturing"/>
    <s v="Male"/>
    <s v="25 - 45"/>
    <s v="Jordanian"/>
    <x v="0"/>
    <x v="0"/>
    <n v="1"/>
    <x v="0"/>
  </r>
  <r>
    <s v="SM026"/>
    <s v="IC-AC-K-01"/>
    <s v="smart green lanter"/>
    <s v="Karak"/>
    <s v="Acceleration"/>
    <s v="Manufacturing"/>
    <s v="Male"/>
    <s v="18 - 24"/>
    <s v="Jordanian"/>
    <x v="0"/>
    <x v="0"/>
    <n v="1"/>
    <x v="0"/>
  </r>
  <r>
    <s v="SM028"/>
    <s v="IC-AC-K-01"/>
    <s v="Badr Al-Tarawneh Recycling Foundation"/>
    <s v="Karak"/>
    <s v="Acceleration"/>
    <s v="Manufacturing"/>
    <s v="Male"/>
    <s v="25 - 45"/>
    <s v="Jordanian"/>
    <x v="0"/>
    <x v="1"/>
    <n v="0"/>
    <x v="1"/>
  </r>
  <r>
    <s v="SM136"/>
    <s v="IC-AC-A-9"/>
    <s v="Your Counter for Technology and Smart Solutions"/>
    <s v="Karak"/>
    <s v="Acceleration"/>
    <s v="Water supply; sewerage, waste management and remediation activities"/>
    <s v="Male"/>
    <s v="25 - 45"/>
    <s v="Jordanian"/>
    <x v="0"/>
    <x v="1"/>
    <n v="0"/>
    <x v="1"/>
  </r>
  <r>
    <s v="SM144"/>
    <s v="IC-AC-K-10"/>
    <s v="wipug"/>
    <s v="Karak"/>
    <s v="Acceleration"/>
    <s v="Manufacturing"/>
    <s v="Female"/>
    <s v="25 - 45"/>
    <s v="Jordanian"/>
    <x v="0"/>
    <x v="0"/>
    <n v="1"/>
    <x v="0"/>
  </r>
  <r>
    <s v="SM147"/>
    <s v="IC-AC-K-10"/>
    <s v="GBC"/>
    <s v="Karak"/>
    <s v="Acceleration"/>
    <s v="Administrative and support service activities"/>
    <s v="Male"/>
    <s v="25 - 45"/>
    <s v="Jordanian"/>
    <x v="0"/>
    <x v="1"/>
    <n v="0"/>
    <x v="1"/>
  </r>
  <r>
    <s v="SM148"/>
    <s v="IC-AC-K-10"/>
    <s v="Studio Corners"/>
    <s v="Karak"/>
    <s v="Acceleration"/>
    <s v="Arts, entertainment and recreation"/>
    <s v="Male"/>
    <s v="25 - 45"/>
    <s v="Jordanian"/>
    <x v="0"/>
    <x v="0"/>
    <n v="1"/>
    <x v="0"/>
  </r>
  <r>
    <s v="SM150"/>
    <s v="IC-AC-K-10"/>
    <s v="Al-Khwarizmi Foundation for Creativity and Investment"/>
    <s v="Karak"/>
    <s v="Acceleration"/>
    <s v="Education"/>
    <s v="Male"/>
    <s v="18 - 24"/>
    <s v="Jordanian"/>
    <x v="0"/>
    <x v="0"/>
    <n v="1"/>
    <x v="0"/>
  </r>
  <r>
    <s v="SM154"/>
    <s v="IC-AC-K-10"/>
    <s v="Vita Glow / An online platform related to skincare"/>
    <s v="Karak"/>
    <s v="Acceleration"/>
    <s v="Human health and social work activities"/>
    <s v="Female"/>
    <s v="25 - 45"/>
    <s v="Jordanian"/>
    <x v="0"/>
    <x v="0"/>
    <n v="1"/>
    <x v="0"/>
  </r>
  <r>
    <s v="SM157"/>
    <s v="IC-AC-K-10"/>
    <s v="Elivio / Manufacturing health and beauty cosmetic products"/>
    <s v="Karak"/>
    <s v="Acceleration"/>
    <s v="Administrative and support service activities"/>
    <s v="Male"/>
    <s v="25 - 45"/>
    <s v="Jordanian"/>
    <x v="0"/>
    <x v="0"/>
    <n v="1"/>
    <x v="0"/>
  </r>
  <r>
    <s v="SM161"/>
    <s v="IC-AC-K-10"/>
    <s v="Color Corner for Printing Services"/>
    <s v="Karak"/>
    <s v="Acceleration"/>
    <s v="Administrative and support service activities"/>
    <s v="Male"/>
    <s v="25 - 45"/>
    <s v="Jordanian"/>
    <x v="0"/>
    <x v="1"/>
    <n v="0"/>
    <x v="1"/>
  </r>
  <r>
    <s v="SM164"/>
    <s v="IC-AC-K-10"/>
    <s v="Blank Matrix"/>
    <s v="Karak"/>
    <s v="Acceleration"/>
    <s v="Financial and insurance activities"/>
    <s v="Male"/>
    <s v="25 - 45"/>
    <s v="Jordanian"/>
    <x v="0"/>
    <x v="1"/>
    <n v="0"/>
    <x v="1"/>
  </r>
  <r>
    <s v="SM165"/>
    <s v="IC-AC-K-10"/>
    <s v="We treat you / health"/>
    <s v="Karak"/>
    <s v="Acceleration"/>
    <s v="Human health and social work activities"/>
    <s v="Male"/>
    <s v="18 - 24"/>
    <s v="Jordanian"/>
    <x v="0"/>
    <x v="0"/>
    <n v="1"/>
    <x v="0"/>
  </r>
  <r>
    <s v="SM167"/>
    <s v="IC-AC-K-10"/>
    <s v="Eazy Robot kit"/>
    <s v="Karak"/>
    <s v="Acceleration"/>
    <s v="Education"/>
    <s v="Female"/>
    <s v="25 - 45"/>
    <s v="Jordanian"/>
    <x v="0"/>
    <x v="0"/>
    <n v="1"/>
    <x v="0"/>
  </r>
  <r>
    <s v="SM168"/>
    <s v="IC-AC-K-10"/>
    <s v="Kids Coder"/>
    <s v="Karak"/>
    <s v="Acceleration"/>
    <s v="Education"/>
    <s v="Female"/>
    <s v="25 - 45"/>
    <s v="Jordanian"/>
    <x v="0"/>
    <x v="1"/>
    <n v="0"/>
    <x v="1"/>
  </r>
  <r>
    <s v="SM169"/>
    <s v="IC-AC-K-10"/>
    <s v="Ebdaa Ogandel Company"/>
    <s v="Karak"/>
    <s v="Acceleration"/>
    <s v="Manufacturing"/>
    <s v="Male"/>
    <s v="25 - 45"/>
    <s v="Jordanian"/>
    <x v="0"/>
    <x v="0"/>
    <n v="1"/>
    <x v="0"/>
  </r>
  <r>
    <s v="SM502"/>
    <s v="IC-AC-K-24"/>
    <s v="Pizza House"/>
    <s v="Karak"/>
    <s v="Acceleration"/>
    <s v="Manufacturing"/>
    <s v="Male"/>
    <s v="25 - 45"/>
    <s v="Jordanian"/>
    <x v="0"/>
    <x v="0"/>
    <n v="1"/>
    <x v="0"/>
  </r>
  <r>
    <s v="SM503"/>
    <s v="IC-AC-K-24"/>
    <s v="Kids IZO – Teaching Children Through Play"/>
    <s v="Karak"/>
    <s v="Acceleration"/>
    <s v="Education"/>
    <s v="Male"/>
    <s v="25 - 45"/>
    <s v="Jordanian"/>
    <x v="0"/>
    <x v="1"/>
    <n v="0"/>
    <x v="1"/>
  </r>
  <r>
    <s v="SM504"/>
    <s v="IC-AC-K-24"/>
    <s v="Gina – Delivery Application"/>
    <s v="Karak"/>
    <s v="Acceleration"/>
    <s v="Transportation and storage"/>
    <s v="Male"/>
    <s v="25 - 45"/>
    <s v="Jordanian"/>
    <x v="0"/>
    <x v="1"/>
    <n v="0"/>
    <x v="1"/>
  </r>
  <r>
    <s v="SM505"/>
    <s v="IC-AC-K-24"/>
    <s v="Engineer 180 – Training for Engineers"/>
    <s v="Karak"/>
    <s v="Acceleration"/>
    <s v="Education"/>
    <s v="Male"/>
    <s v="25 - 45"/>
    <s v="Jordanian"/>
    <x v="0"/>
    <x v="1"/>
    <n v="0"/>
    <x v="1"/>
  </r>
  <r>
    <s v="SM506"/>
    <s v="IC-AC-K-24"/>
    <s v="Xora – Automation for Factories and Companies"/>
    <s v="Karak"/>
    <s v="Acceleration"/>
    <s v="Information and communication"/>
    <s v="Male"/>
    <s v="18 - 24"/>
    <s v="Jordanian"/>
    <x v="0"/>
    <x v="1"/>
    <n v="0"/>
    <x v="1"/>
  </r>
  <r>
    <s v="SM507"/>
    <s v="IC-AC-K-24"/>
    <s v="Kompoz – Organic Fertilizer Production"/>
    <s v="Karak"/>
    <s v="Acceleration"/>
    <s v="Agriculture, forestry and fishing"/>
    <s v="Male"/>
    <s v="25 - 45"/>
    <s v="Jordanian"/>
    <x v="0"/>
    <x v="1"/>
    <n v="0"/>
    <x v="1"/>
  </r>
  <r>
    <s v="SM508"/>
    <s v="IC-AC-K-24"/>
    <s v="Eshqaha Application"/>
    <s v="Karak"/>
    <s v="Acceleration"/>
    <s v="Wholesale and retail trade; repair of motor vehicles and motorcycles"/>
    <s v="Male"/>
    <s v="25 - 45"/>
    <s v="Jordanian"/>
    <x v="0"/>
    <x v="1"/>
    <n v="0"/>
    <x v="1"/>
  </r>
  <r>
    <s v="SM509"/>
    <s v="IC-AC-K-24"/>
    <s v="Eco Root – Agricultural Services and Tools to Transform Empty Spaces into Green Areas"/>
    <s v="Karak"/>
    <s v="Acceleration"/>
    <s v="Agriculture, forestry and fishing"/>
    <s v="Female"/>
    <s v="18 - 24"/>
    <s v="Jordanian"/>
    <x v="0"/>
    <x v="1"/>
    <n v="0"/>
    <x v="1"/>
  </r>
  <r>
    <s v="SM510"/>
    <s v="IC-AC-K-24"/>
    <s v="Our Jameed, Mana"/>
    <s v="Karak"/>
    <s v="Acceleration"/>
    <s v="Manufacturing"/>
    <s v="Male"/>
    <s v="18 - 24"/>
    <s v="Jordanian"/>
    <x v="0"/>
    <x v="1"/>
    <n v="0"/>
    <x v="1"/>
  </r>
  <r>
    <s v="SM511"/>
    <s v="IC-AC-K-24"/>
    <s v="Noor Center for Psychiatry and Addiction Treatment"/>
    <s v="Karak"/>
    <s v="Acceleration"/>
    <s v="Human health and social work activities"/>
    <s v="Female"/>
    <s v="25 - 45"/>
    <s v="Jordanian"/>
    <x v="0"/>
    <x v="1"/>
    <n v="0"/>
    <x v="1"/>
  </r>
  <r>
    <s v="SM512"/>
    <s v="IC-AC-K-24"/>
    <s v="Intellectual Intelligence – Organizing International &amp; Local Conferences and Publishing Scientific Journals"/>
    <s v="Karak"/>
    <s v="Acceleration"/>
    <s v="Education"/>
    <s v="Female"/>
    <s v="25 - 45"/>
    <s v="Jordanian"/>
    <x v="0"/>
    <x v="1"/>
    <n v="0"/>
    <x v="1"/>
  </r>
  <r>
    <s v="SM513"/>
    <s v="IC-AC-K-24"/>
    <s v="Aleena – Cleaning Services"/>
    <s v="Karak"/>
    <s v="Acceleration"/>
    <s v="Administrative and support service activities"/>
    <s v="Male"/>
    <s v="25 - 45"/>
    <s v="Jordanian"/>
    <x v="0"/>
    <x v="1"/>
    <n v="0"/>
    <x v="1"/>
  </r>
  <r>
    <s v="SM514"/>
    <s v="IC-AC-K-24"/>
    <s v="Ghaima Establishment for Waste Collection and Transport"/>
    <s v="Karak"/>
    <s v="Acceleration"/>
    <s v="Water supply; sewerage, waste management and remediation activities"/>
    <s v="Male"/>
    <s v="25 - 45"/>
    <s v="Jordanian"/>
    <x v="0"/>
    <x v="1"/>
    <n v="0"/>
    <x v="1"/>
  </r>
  <r>
    <s v="SM517"/>
    <s v="IC-AC-K-24"/>
    <s v="Silver Jubilee Center – Providing Training Courses and Academic Support for Students"/>
    <s v="Karak"/>
    <s v="Acceleration"/>
    <s v="Education"/>
    <s v="Male"/>
    <s v="25 - 45"/>
    <s v="Jordanian"/>
    <x v="0"/>
    <x v="1"/>
    <n v="0"/>
    <x v="1"/>
  </r>
  <r>
    <s v="SM518"/>
    <s v="IC-AC-K-24"/>
    <s v="Ladies Treatment and Care"/>
    <s v="Karak"/>
    <s v="Acceleration"/>
    <s v="Manufacturing"/>
    <s v="Female"/>
    <s v="25 - 45"/>
    <s v="Jordanian"/>
    <x v="0"/>
    <x v="1"/>
    <n v="0"/>
    <x v="1"/>
  </r>
  <r>
    <s v="SM519"/>
    <s v="IC-AC-K-24"/>
    <s v="Ishحنلي (Ishحنلي) – Smart Device Charging Stations"/>
    <s v="Karak"/>
    <s v="Acceleration"/>
    <s v="Professional, scientific and technical activities"/>
    <s v="Female"/>
    <s v="18 - 24"/>
    <s v="Jordanian"/>
    <x v="0"/>
    <x v="1"/>
    <n v="0"/>
    <x v="1"/>
  </r>
  <r>
    <s v="SM520"/>
    <s v="IC-AC-K-24"/>
    <s v="Cookies Rose"/>
    <s v="Karak"/>
    <s v="Acceleration"/>
    <s v="Manufacturing"/>
    <s v="Female"/>
    <s v="18 - 24"/>
    <s v="Jordanian"/>
    <x v="0"/>
    <x v="1"/>
    <n v="0"/>
    <x v="1"/>
  </r>
  <r>
    <s v="SM522"/>
    <s v="IC-AC-K-24"/>
    <s v="Captain English"/>
    <s v="Karak"/>
    <s v="Acceleration"/>
    <s v="Education"/>
    <s v="Female"/>
    <s v="25 - 45"/>
    <s v="Jordanian"/>
    <x v="0"/>
    <x v="0"/>
    <n v="1"/>
    <x v="0"/>
  </r>
  <r>
    <s v="SM523"/>
    <s v="IC-AC-K-24"/>
    <s v="Sama for Thermal Printing"/>
    <s v="Karak"/>
    <s v="Acceleration"/>
    <s v="Manufacturing"/>
    <s v="Female"/>
    <s v="25 - 45"/>
    <s v="Jordanian"/>
    <x v="0"/>
    <x v="1"/>
    <n v="0"/>
    <x v="1"/>
  </r>
  <r>
    <s v="SM611"/>
    <s v="IC-AC-K-24"/>
    <s v="Smart solutions project"/>
    <s v="Karak"/>
    <s v="Acceleration"/>
    <s v="Manufacturing"/>
    <s v="Female"/>
    <s v="25 - 45"/>
    <s v="Jordanian"/>
    <x v="0"/>
    <x v="1"/>
    <n v="0"/>
    <x v="1"/>
  </r>
  <r>
    <s v="SM009"/>
    <s v="IC-AC-M-01"/>
    <s v="CvWebs"/>
    <s v="Mafraq"/>
    <s v="Acceleration"/>
    <s v="Information and communication"/>
    <s v="Male"/>
    <s v="18 - 24"/>
    <s v="Jordanian"/>
    <x v="0"/>
    <x v="1"/>
    <n v="0"/>
    <x v="1"/>
  </r>
  <r>
    <s v="SM108"/>
    <s v="IC-AC-M-7"/>
    <s v="Halal Market / Livestock Trade"/>
    <s v="Mafraq"/>
    <s v="Acceleration"/>
    <s v="Transportation and storage"/>
    <s v="Male"/>
    <s v="25 - 45"/>
    <s v="Non-Jordanian"/>
    <x v="0"/>
    <x v="1"/>
    <n v="0"/>
    <x v="1"/>
  </r>
  <r>
    <s v="SM112"/>
    <s v="IC-AC-M-7"/>
    <s v="Dawood Trend Store"/>
    <s v="Mafraq"/>
    <s v="Acceleration"/>
    <s v="Information and communication"/>
    <s v="Male"/>
    <s v="18 - 24"/>
    <s v="Jordanian"/>
    <x v="0"/>
    <x v="0"/>
    <n v="1"/>
    <x v="0"/>
  </r>
  <r>
    <s v="SM113"/>
    <s v="IC-AC-M-7"/>
    <s v="Taj Bakery"/>
    <s v="Mafraq"/>
    <s v="Acceleration"/>
    <s v="Manufacturing"/>
    <s v="Female"/>
    <s v="25 - 45"/>
    <s v="Jordanian"/>
    <x v="0"/>
    <x v="1"/>
    <n v="0"/>
    <x v="1"/>
  </r>
  <r>
    <s v="SM115"/>
    <s v="IC-AC-M-7"/>
    <s v="Your Photos in Our Lens"/>
    <s v="Mafraq"/>
    <s v="Acceleration"/>
    <s v="Professional, scientific and technical activities"/>
    <s v="Female"/>
    <s v="25 - 45"/>
    <s v="Jordanian"/>
    <x v="0"/>
    <x v="1"/>
    <n v="0"/>
    <x v="1"/>
  </r>
  <r>
    <s v="SM117"/>
    <s v="IC-AC-M-7"/>
    <s v="Rouh wa Reyhan"/>
    <s v="Mafraq"/>
    <s v="Acceleration"/>
    <s v="Agriculture, forestry and fishing"/>
    <s v="Female"/>
    <s v="46 - 60"/>
    <s v="Jordanian"/>
    <x v="0"/>
    <x v="1"/>
    <n v="0"/>
    <x v="1"/>
  </r>
  <r>
    <s v="SM263"/>
    <s v="IC-AC-M-15"/>
    <s v="Al-Taqwa Aquaponics"/>
    <s v="Mafraq"/>
    <s v="Acceleration"/>
    <s v="Agriculture, forestry and fishing"/>
    <s v="Male"/>
    <s v="46 - 60"/>
    <s v="Jordanian"/>
    <x v="0"/>
    <x v="1"/>
    <n v="0"/>
    <x v="1"/>
  </r>
  <r>
    <s v="SM264"/>
    <s v="IC-AC-M-15"/>
    <s v="Abq Al-Fan for Design and Programming"/>
    <s v="Mafraq"/>
    <s v="Acceleration"/>
    <s v="Administrative and support service activities"/>
    <s v="Male"/>
    <s v="25 - 45"/>
    <s v="Jordanian"/>
    <x v="0"/>
    <x v="1"/>
    <n v="0"/>
    <x v="1"/>
  </r>
  <r>
    <s v="SM269"/>
    <s v="IC-AC-M-15"/>
    <s v="Rose Seedling"/>
    <s v="Mafraq"/>
    <s v="Acceleration"/>
    <s v="Agriculture, forestry and fishing"/>
    <s v="Female"/>
    <s v="25 - 45"/>
    <s v="Jordanian"/>
    <x v="0"/>
    <x v="1"/>
    <n v="0"/>
    <x v="1"/>
  </r>
  <r>
    <s v="SM283"/>
    <s v="IC-AC-M-15"/>
    <s v="Pearl of Jordan Water"/>
    <s v="Mafraq"/>
    <s v="Acceleration"/>
    <s v="Manufacturing"/>
    <s v="Male"/>
    <s v="25 - 45"/>
    <s v="Jordanian"/>
    <x v="0"/>
    <x v="1"/>
    <n v="0"/>
    <x v="1"/>
  </r>
  <r>
    <s v="SM195"/>
    <s v="IC-LN-G-25"/>
    <s v="Vamo"/>
    <s v="Amman"/>
    <s v="Go to Market"/>
    <s v="Information and communication"/>
    <s v="Male"/>
    <s v="25 - 45"/>
    <s v="Jordanian"/>
    <x v="0"/>
    <x v="0"/>
    <n v="1"/>
    <x v="0"/>
  </r>
  <r>
    <s v="SM355"/>
    <s v="IC-LN-J-21"/>
    <s v="Alin Healthy Products Kitchen"/>
    <s v="Amman"/>
    <s v="Go to Market"/>
    <s v="Agriculture, forestry and fishing"/>
    <s v="Female"/>
    <s v="46 - 60"/>
    <s v="Jordanian"/>
    <x v="0"/>
    <x v="1"/>
    <n v="0"/>
    <x v="1"/>
  </r>
  <r>
    <s v="SM466"/>
    <s v="IC-LN-A-22"/>
    <s v="The Professional Breeder"/>
    <s v="Amman"/>
    <s v="Go to Market"/>
    <s v="Human health and social work activities"/>
    <s v="Female"/>
    <s v="25 - 45"/>
    <s v="Jordanian"/>
    <x v="0"/>
    <x v="1"/>
    <n v="0"/>
    <x v="1"/>
  </r>
  <r>
    <s v="SM467"/>
    <s v="IC-LN-A-22"/>
    <s v="Organic G"/>
    <s v="Amman"/>
    <s v="Go to Market"/>
    <s v="Water supply; sewerage, waste management and remediation activities"/>
    <s v="Male"/>
    <s v="25 - 45"/>
    <s v="Jordanian"/>
    <x v="0"/>
    <x v="0"/>
    <n v="1"/>
    <x v="0"/>
  </r>
  <r>
    <s v="SM588"/>
    <s v="IC-LN-G-25"/>
    <s v="Vaterina"/>
    <s v="Amman"/>
    <s v="Go to Market"/>
    <s v="Information and communication"/>
    <s v="Male"/>
    <s v="25 - 45"/>
    <s v="Jordanian"/>
    <x v="0"/>
    <x v="1"/>
    <n v="0"/>
    <x v="1"/>
  </r>
  <r>
    <s v="SM868"/>
    <s v="IC-LN-G-29"/>
    <s v="ZadGo"/>
    <s v="Amman"/>
    <s v="Go to Market"/>
    <s v="Wholesale and retail trade; repair of motor vehicles and motorcycles"/>
    <s v="Male"/>
    <s v="46 - 60"/>
    <s v="Jordanian"/>
    <x v="0"/>
    <x v="1"/>
    <n v="0"/>
    <x v="1"/>
  </r>
  <r>
    <s v="SM906"/>
    <s v="IC-LN-G-29"/>
    <s v="Jet App"/>
    <s v="Amman"/>
    <s v="Go to Market"/>
    <s v="Wholesale and retail trade; repair of motor vehicles and motorcycles"/>
    <s v="Male"/>
    <s v="25 - 45"/>
    <s v="Jordanian"/>
    <x v="0"/>
    <x v="1"/>
    <n v="0"/>
    <x v="1"/>
  </r>
  <r>
    <s v="SM055"/>
    <s v="IC-LN-A-22"/>
    <s v="Smart Cart"/>
    <s v="Aqaba"/>
    <s v="Go to Market"/>
    <s v="Accommodation and food service activities"/>
    <s v="Male"/>
    <s v="25 - 45"/>
    <s v="Jordanian"/>
    <x v="0"/>
    <x v="0"/>
    <n v="1"/>
    <x v="0"/>
  </r>
  <r>
    <s v="SM424"/>
    <s v="IC-LN-A-22"/>
    <s v="Green pillows"/>
    <s v="Aqaba"/>
    <s v="Go to Market"/>
    <s v="Water supply; sewerage, waste management and remediation activities"/>
    <s v="Female"/>
    <s v="25 - 45"/>
    <s v="Jordanian"/>
    <x v="0"/>
    <x v="1"/>
    <n v="0"/>
    <x v="1"/>
  </r>
  <r>
    <s v="SM425"/>
    <s v="IC-LN-A-22"/>
    <s v="Ramp Aqaba for advertising and marketing"/>
    <s v="Aqaba"/>
    <s v="Go to Market"/>
    <s v="Arts, entertainment and recreation"/>
    <s v="Male"/>
    <s v="18 - 24"/>
    <s v="Jordanian"/>
    <x v="0"/>
    <x v="1"/>
    <n v="0"/>
    <x v="1"/>
  </r>
  <r>
    <s v="SM427"/>
    <s v="IC-LN-A-22"/>
    <s v="Yr gool"/>
    <s v="Aqaba"/>
    <s v="Go to Market"/>
    <s v="Arts, entertainment and recreation"/>
    <s v="Male"/>
    <s v="18 - 24"/>
    <s v="Jordanian"/>
    <x v="0"/>
    <x v="1"/>
    <n v="0"/>
    <x v="1"/>
  </r>
  <r>
    <s v="SM428"/>
    <s v="IC-LN-A-22"/>
    <s v="Mariana for crochet bags"/>
    <s v="Aqaba"/>
    <s v="Go to Market"/>
    <s v="Arts, entertainment and recreation"/>
    <s v="Female"/>
    <s v="25 - 45"/>
    <s v="Jordanian"/>
    <x v="0"/>
    <x v="1"/>
    <n v="0"/>
    <x v="1"/>
  </r>
  <r>
    <s v="SM429"/>
    <s v="IC-LN-A-22"/>
    <s v="Deem product"/>
    <s v="Aqaba"/>
    <s v="Go to Market"/>
    <s v="Manufacturing"/>
    <s v="Male"/>
    <s v="25 - 45"/>
    <s v="Jordanian"/>
    <x v="0"/>
    <x v="1"/>
    <n v="0"/>
    <x v="1"/>
  </r>
  <r>
    <s v="SM430"/>
    <s v="IC-LN-A-22"/>
    <s v="Tasneem Art Paintings"/>
    <s v="Aqaba"/>
    <s v="Go to Market"/>
    <s v="Manufacturing"/>
    <s v="Female"/>
    <s v="46 - 60"/>
    <s v="Jordanian"/>
    <x v="0"/>
    <x v="1"/>
    <n v="0"/>
    <x v="1"/>
  </r>
  <r>
    <s v="SM431"/>
    <s v="IC-LN-A-22"/>
    <s v="Tailoring and upcycling of clothing"/>
    <s v="Aqaba"/>
    <s v="Go to Market"/>
    <s v="Manufacturing"/>
    <s v="Female"/>
    <s v="46 - 60"/>
    <s v="Jordanian"/>
    <x v="0"/>
    <x v="0"/>
    <n v="1"/>
    <x v="0"/>
  </r>
  <r>
    <s v="SM433"/>
    <s v="IC-LN-A-22"/>
    <s v="Home bro"/>
    <s v="Aqaba"/>
    <s v="Go to Market"/>
    <s v="Real estate activities"/>
    <s v="Male"/>
    <s v="25 - 45"/>
    <s v="Jordanian"/>
    <x v="0"/>
    <x v="1"/>
    <n v="0"/>
    <x v="1"/>
  </r>
  <r>
    <s v="SM436"/>
    <s v="IC-LN-A-22"/>
    <s v="2beens90+"/>
    <s v="Aqaba"/>
    <s v="Go to Market"/>
    <s v="Professional, scientific and technical activities"/>
    <s v="Male"/>
    <s v="18 - 24"/>
    <s v="Jordanian"/>
    <x v="0"/>
    <x v="1"/>
    <n v="0"/>
    <x v="1"/>
  </r>
  <r>
    <s v="SM437"/>
    <s v="IC-LN-A-22"/>
    <s v="A pearl"/>
    <s v="Aqaba"/>
    <s v="Go to Market"/>
    <s v="Arts, entertainment and recreation"/>
    <s v="Female"/>
    <s v="46 - 60"/>
    <s v="Jordanian"/>
    <x v="0"/>
    <x v="1"/>
    <n v="0"/>
    <x v="1"/>
  </r>
  <r>
    <s v="SM438"/>
    <s v="IC-LN-A-22"/>
    <s v="Auto Mechica Jordan"/>
    <s v="Aqaba"/>
    <s v="Go to Market"/>
    <s v="Wholesale and retail trade; repair of motor vehicles and motorcycles"/>
    <s v="Male"/>
    <s v="18 - 24"/>
    <s v="Jordanian"/>
    <x v="0"/>
    <x v="0"/>
    <n v="1"/>
    <x v="0"/>
  </r>
  <r>
    <s v="SM443"/>
    <s v="IC-LN-A-22"/>
    <s v="A Teek Store"/>
    <s v="Aqaba"/>
    <s v="Go to Market"/>
    <s v="Information and communication"/>
    <s v="Female"/>
    <s v="18 - 24"/>
    <s v="Jordanian"/>
    <x v="0"/>
    <x v="1"/>
    <n v="0"/>
    <x v="1"/>
  </r>
  <r>
    <s v="SM445"/>
    <s v="IC-LN-A-22"/>
    <s v="Bk Sweets"/>
    <s v="Aqaba"/>
    <s v="Go to Market"/>
    <s v="Accommodation and food service activities"/>
    <s v="Male"/>
    <s v="25 - 45"/>
    <s v="Jordanian"/>
    <x v="0"/>
    <x v="1"/>
    <n v="0"/>
    <x v="1"/>
  </r>
  <r>
    <s v="SM446"/>
    <s v="IC-LN-A-22"/>
    <s v="Amad Rum"/>
    <s v="Aqaba"/>
    <s v="Go to Market"/>
    <s v="Arts, entertainment and recreation"/>
    <s v="Male"/>
    <s v="25 - 45"/>
    <s v="Jordanian"/>
    <x v="0"/>
    <x v="1"/>
    <n v="0"/>
    <x v="1"/>
  </r>
  <r>
    <s v="SM447"/>
    <s v="IC-LN-A-22"/>
    <s v="Maknoon"/>
    <s v="Aqaba"/>
    <s v="Go to Market"/>
    <s v="Arts, entertainment and recreation"/>
    <s v="Female"/>
    <s v="46 - 60"/>
    <s v="Jordanian"/>
    <x v="0"/>
    <x v="1"/>
    <n v="0"/>
    <x v="1"/>
  </r>
  <r>
    <s v="SM448"/>
    <s v="IC-LN-A-22"/>
    <s v="Calma Cafe"/>
    <s v="Aqaba"/>
    <s v="Go to Market"/>
    <s v="Accommodation and food service activities"/>
    <s v="Male"/>
    <s v="25 - 45"/>
    <s v="Jordanian"/>
    <x v="0"/>
    <x v="1"/>
    <n v="0"/>
    <x v="1"/>
  </r>
  <r>
    <s v="SM449"/>
    <s v="IC-LN-A-22"/>
    <s v="Birds of Paradise"/>
    <s v="Aqaba"/>
    <s v="Go to Market"/>
    <s v="Education"/>
    <s v="Female"/>
    <s v="46 - 60"/>
    <s v="Jordanian"/>
    <x v="0"/>
    <x v="1"/>
    <n v="0"/>
    <x v="1"/>
  </r>
  <r>
    <s v="SM450"/>
    <s v="IC-LN-A-22"/>
    <s v="Larose"/>
    <s v="Aqaba"/>
    <s v="Go to Market"/>
    <s v="Manufacturing"/>
    <s v="Female"/>
    <s v="25 - 45"/>
    <s v="Jordanian"/>
    <x v="0"/>
    <x v="1"/>
    <n v="0"/>
    <x v="1"/>
  </r>
  <r>
    <s v="SM453"/>
    <s v="IC-LN-A-22"/>
    <s v="United Jordan Marine"/>
    <s v="Aqaba"/>
    <s v="Go to Market"/>
    <s v="Transportation and storage"/>
    <s v="Male"/>
    <s v="46 - 60"/>
    <s v="Jordanian"/>
    <x v="0"/>
    <x v="1"/>
    <n v="0"/>
    <x v="1"/>
  </r>
  <r>
    <s v="SM454"/>
    <s v="IC-LN-A-22"/>
    <s v="Peace Land"/>
    <s v="Aqaba"/>
    <s v="Go to Market"/>
    <s v="Manufacturing"/>
    <s v="Female"/>
    <s v="25 - 45"/>
    <s v="Jordanian"/>
    <x v="0"/>
    <x v="2"/>
    <n v="0"/>
    <x v="2"/>
  </r>
  <r>
    <s v="SM456"/>
    <s v="IC-LN-A-22"/>
    <s v="Abar hsma cobany"/>
    <s v="Aqaba"/>
    <s v="Go to Market"/>
    <s v="Manufacturing"/>
    <s v="Male"/>
    <s v="25 - 45"/>
    <s v="Jordanian"/>
    <x v="0"/>
    <x v="1"/>
    <n v="0"/>
    <x v="1"/>
  </r>
  <r>
    <s v="SM457"/>
    <s v="IC-LN-A-22"/>
    <s v="Glow"/>
    <s v="Aqaba"/>
    <s v="Go to Market"/>
    <s v="Arts, entertainment and recreation"/>
    <s v="Female"/>
    <s v="18 - 24"/>
    <s v="Jordanian"/>
    <x v="0"/>
    <x v="1"/>
    <n v="0"/>
    <x v="1"/>
  </r>
  <r>
    <s v="SM458"/>
    <s v="IC-LN-A-22"/>
    <s v="Rajaa cack and more"/>
    <s v="Aqaba"/>
    <s v="Go to Market"/>
    <s v="Manufacturing"/>
    <s v="Female"/>
    <s v="25 - 45"/>
    <s v="Jordanian"/>
    <x v="0"/>
    <x v="1"/>
    <n v="0"/>
    <x v="1"/>
  </r>
  <r>
    <s v="SM462"/>
    <s v="IC-LN-A-22"/>
    <s v="Handcraft"/>
    <s v="Aqaba"/>
    <s v="Go to Market"/>
    <s v="Manufacturing"/>
    <s v="Female"/>
    <s v="25 - 45"/>
    <s v="Jordanian"/>
    <x v="0"/>
    <x v="1"/>
    <n v="0"/>
    <x v="1"/>
  </r>
  <r>
    <s v="SM463"/>
    <s v="IC-LN-A-22"/>
    <s v="Kindergarten"/>
    <s v="Aqaba"/>
    <s v="Go to Market"/>
    <s v="Education"/>
    <s v="Female"/>
    <s v="25 - 45"/>
    <s v="Jordanian"/>
    <x v="0"/>
    <x v="1"/>
    <n v="0"/>
    <x v="1"/>
  </r>
  <r>
    <s v="SM464"/>
    <s v="IC-LN-A-22"/>
    <s v="English Learning"/>
    <s v="Aqaba"/>
    <s v="Go to Market"/>
    <s v="Information and communication"/>
    <s v="Male"/>
    <s v="18 - 24"/>
    <s v="Jordanian"/>
    <x v="0"/>
    <x v="1"/>
    <n v="0"/>
    <x v="1"/>
  </r>
  <r>
    <s v="SM468"/>
    <s v="IC-LN-A-22"/>
    <s v="Diving center"/>
    <s v="Aqaba"/>
    <s v="Go to Market"/>
    <s v="Arts, entertainment and recreation"/>
    <s v="Male"/>
    <s v="18 - 24"/>
    <s v="Jordanian"/>
    <x v="0"/>
    <x v="1"/>
    <n v="0"/>
    <x v="1"/>
  </r>
  <r>
    <s v="SM469"/>
    <s v="IC-LN-A-22"/>
    <s v="Wold of bookmark"/>
    <s v="Aqaba"/>
    <s v="Go to Market"/>
    <s v="Education"/>
    <s v="Male"/>
    <s v="18 - 24"/>
    <s v="Jordanian"/>
    <x v="0"/>
    <x v="1"/>
    <n v="0"/>
    <x v="1"/>
  </r>
  <r>
    <s v="SM470"/>
    <s v="IC-LN-A-22"/>
    <s v="Nomad. Camp wadi rum"/>
    <s v="Aqaba"/>
    <s v="Go to Market"/>
    <s v="Accommodation and food service activities"/>
    <s v="Male"/>
    <s v="Above 60"/>
    <s v="Jordanian"/>
    <x v="0"/>
    <x v="1"/>
    <n v="0"/>
    <x v="1"/>
  </r>
  <r>
    <s v="SM356"/>
    <s v="IC-LN-J-21"/>
    <s v="Touch of Love"/>
    <s v="Jarash"/>
    <s v="Go to Market"/>
    <s v="Manufacturing"/>
    <s v="Female"/>
    <s v="25 - 45"/>
    <s v="Jordanian"/>
    <x v="0"/>
    <x v="1"/>
    <n v="0"/>
    <x v="1"/>
  </r>
  <r>
    <s v="SM357"/>
    <s v="IC-LN-J-21"/>
    <s v="Sanaa Al Nithami Kitchen"/>
    <s v="Jarash"/>
    <s v="Go to Market"/>
    <s v="Professional, scientific and technical activities"/>
    <s v="Male"/>
    <s v="18 - 24"/>
    <s v="Jordanian"/>
    <x v="0"/>
    <x v="1"/>
    <n v="0"/>
    <x v="1"/>
  </r>
  <r>
    <s v="SM358"/>
    <s v="IC-LN-J-21"/>
    <s v="Hamoudeh Spices and Seasonings"/>
    <s v="Jarash"/>
    <s v="Go to Market"/>
    <s v="Manufacturing"/>
    <s v="Female"/>
    <s v="25 - 45"/>
    <s v="Jordanian"/>
    <x v="0"/>
    <x v="1"/>
    <n v="0"/>
    <x v="1"/>
  </r>
  <r>
    <s v="SM361"/>
    <s v="IC-LN-J-21"/>
    <s v="Basma Khadra"/>
    <s v="Jarash"/>
    <s v="Go to Market"/>
    <s v="Agriculture, forestry and fishing"/>
    <s v="Female"/>
    <s v="25 - 45"/>
    <s v="Jordanian"/>
    <x v="0"/>
    <x v="1"/>
    <n v="0"/>
    <x v="1"/>
  </r>
  <r>
    <s v="SM362"/>
    <s v="IC-LN-J-21"/>
    <s v="Travelers Tourism and Travel"/>
    <s v="Jarash"/>
    <s v="Go to Market"/>
    <s v="Accommodation and food service activities"/>
    <s v="Female"/>
    <s v="18 - 24"/>
    <s v="Non-Jordanian"/>
    <x v="0"/>
    <x v="1"/>
    <n v="0"/>
    <x v="1"/>
  </r>
  <r>
    <s v="SM364"/>
    <s v="IC-LN-J-21"/>
    <s v="Basket of life"/>
    <s v="Jarash"/>
    <s v="Go to Market"/>
    <s v="Agriculture, forestry and fishing"/>
    <s v="Male"/>
    <s v="25 - 45"/>
    <s v="Jordanian"/>
    <x v="0"/>
    <x v="1"/>
    <n v="0"/>
    <x v="1"/>
  </r>
  <r>
    <s v="SM365"/>
    <s v="IC-LN-J-21"/>
    <s v="Alsham for sweet"/>
    <s v="Jarash"/>
    <s v="Go to Market"/>
    <s v="Manufacturing"/>
    <s v="Female"/>
    <s v="25 - 45"/>
    <s v="Non-Jordanian"/>
    <x v="0"/>
    <x v="1"/>
    <n v="0"/>
    <x v="1"/>
  </r>
  <r>
    <s v="SM366"/>
    <s v="IC-LN-J-21"/>
    <s v="We Learn"/>
    <s v="Jarash"/>
    <s v="Go to Market"/>
    <s v="Education"/>
    <s v="Male"/>
    <s v="25 - 45"/>
    <s v="Non-Jordanian"/>
    <x v="0"/>
    <x v="1"/>
    <n v="0"/>
    <x v="1"/>
  </r>
  <r>
    <s v="SM367"/>
    <s v="IC-LN-J-21"/>
    <s v="Al Rabwa Dairy"/>
    <s v="Jarash"/>
    <s v="Go to Market"/>
    <s v="Manufacturing"/>
    <s v="Female"/>
    <s v="25 - 45"/>
    <s v="Jordanian"/>
    <x v="0"/>
    <x v="1"/>
    <n v="0"/>
    <x v="1"/>
  </r>
  <r>
    <s v="SM368"/>
    <s v="IC-LN-J-21"/>
    <s v="Alloush Nursery"/>
    <s v="Jarash"/>
    <s v="Go to Market"/>
    <s v="Human health and social work activities"/>
    <s v="Female"/>
    <s v="25 - 45"/>
    <s v="Jordanian"/>
    <x v="0"/>
    <x v="1"/>
    <n v="0"/>
    <x v="1"/>
  </r>
  <r>
    <s v="SM371"/>
    <s v="IC-LN-J-21"/>
    <s v="Souvenir"/>
    <s v="Jarash"/>
    <s v="Go to Market"/>
    <s v="Arts, entertainment and recreation"/>
    <s v="Female"/>
    <s v="25 - 45"/>
    <s v="Jordanian"/>
    <x v="0"/>
    <x v="1"/>
    <n v="0"/>
    <x v="1"/>
  </r>
  <r>
    <s v="SM393"/>
    <s v="IC-LN-J-21"/>
    <s v="Sport power"/>
    <s v="Jarash"/>
    <s v="Go to Market"/>
    <s v="Human health and social work activities"/>
    <s v="Female"/>
    <s v="25 - 45"/>
    <s v="Jordanian"/>
    <x v="0"/>
    <x v="0"/>
    <n v="1"/>
    <x v="0"/>
  </r>
  <r>
    <s v="SM394"/>
    <s v="IC-LN-J-21"/>
    <s v="Majd Kitchen"/>
    <s v="Jarash"/>
    <s v="Go to Market"/>
    <s v="Manufacturing"/>
    <s v="Female"/>
    <s v="18 - 24"/>
    <s v="Jordanian"/>
    <x v="0"/>
    <x v="1"/>
    <n v="0"/>
    <x v="1"/>
  </r>
  <r>
    <s v="SM395"/>
    <s v="IC-LN-J-21"/>
    <s v="Cheese and Dairy"/>
    <s v="Jarash"/>
    <s v="Go to Market"/>
    <s v="Agriculture, forestry and fishing"/>
    <s v="Female"/>
    <s v="25 - 45"/>
    <s v="Jordanian"/>
    <x v="0"/>
    <x v="1"/>
    <n v="0"/>
    <x v="1"/>
  </r>
  <r>
    <s v="SM398"/>
    <s v="IC-LN-J-21"/>
    <s v="Jordan Activity"/>
    <s v="Jarash"/>
    <s v="Go to Market"/>
    <s v="Arts, entertainment and recreation"/>
    <s v="Male"/>
    <s v="25 - 45"/>
    <s v="Jordanian"/>
    <x v="0"/>
    <x v="0"/>
    <n v="1"/>
    <x v="0"/>
  </r>
  <r>
    <s v="SM399"/>
    <s v="IC-LN-J-21"/>
    <s v="Abd Salon"/>
    <s v="Jarash"/>
    <s v="Go to Market"/>
    <s v="cosmetics"/>
    <s v="Male"/>
    <s v="25 - 45"/>
    <s v="Non-Jordanian"/>
    <x v="0"/>
    <x v="1"/>
    <n v="0"/>
    <x v="1"/>
  </r>
  <r>
    <s v="SM402"/>
    <s v="IC-LN-J-21"/>
    <s v="R promark"/>
    <s v="Jarash"/>
    <s v="Go to Market"/>
    <s v="Administrative and support service activities"/>
    <s v="Female"/>
    <s v="25 - 45"/>
    <s v="Jordanian"/>
    <x v="0"/>
    <x v="2"/>
    <n v="0"/>
    <x v="2"/>
  </r>
  <r>
    <s v="SM403"/>
    <s v="IC-LN-J-21"/>
    <s v="Mushroom Farming"/>
    <s v="Jarash"/>
    <s v="Go to Market"/>
    <s v="Agriculture, forestry and fishing"/>
    <s v="Female"/>
    <s v="25 - 45"/>
    <s v="Jordanian"/>
    <x v="0"/>
    <x v="1"/>
    <n v="0"/>
    <x v="1"/>
  </r>
  <r>
    <s v="SM404"/>
    <s v="IC-LN-J-21"/>
    <s v="Rahaf Al Reef"/>
    <s v="Jarash"/>
    <s v="Go to Market"/>
    <s v="Manufacturing"/>
    <s v="Female"/>
    <s v="46 - 60"/>
    <s v="Jordanian"/>
    <x v="0"/>
    <x v="1"/>
    <n v="0"/>
    <x v="1"/>
  </r>
  <r>
    <s v="SM409"/>
    <s v="IC-LN-J-21"/>
    <s v="Gamz"/>
    <s v="Jarash"/>
    <s v="Go to Market"/>
    <s v="Arts, entertainment and recreation"/>
    <s v="Female"/>
    <s v="25 - 45"/>
    <s v="Jordanian"/>
    <x v="0"/>
    <x v="0"/>
    <n v="1"/>
    <x v="0"/>
  </r>
  <r>
    <s v="SM410"/>
    <s v="IC-LN-J-21"/>
    <s v="Sewing and embroidery"/>
    <s v="Jarash"/>
    <s v="Go to Market"/>
    <s v="Administrative and support service activities"/>
    <s v="Female"/>
    <s v="46 - 60"/>
    <s v="Jordanian"/>
    <x v="0"/>
    <x v="1"/>
    <n v="0"/>
    <x v="1"/>
  </r>
  <r>
    <s v="SM411"/>
    <s v="IC-LN-J-21"/>
    <s v="Orkida"/>
    <s v="Jarash"/>
    <s v="Go to Market"/>
    <s v="Manufacturing"/>
    <s v="Female"/>
    <s v="18 - 24"/>
    <s v="Jordanian"/>
    <x v="0"/>
    <x v="1"/>
    <n v="0"/>
    <x v="1"/>
  </r>
  <r>
    <s v="SM434"/>
    <s v="IC-LN-A-22"/>
    <s v="Khayrat Al-Shoubak"/>
    <s v="Maan"/>
    <s v="Go to Market"/>
    <s v="Accommodation and food service activities"/>
    <s v="Male"/>
    <s v="25 - 45"/>
    <s v="Jordanian"/>
    <x v="0"/>
    <x v="0"/>
    <n v="1"/>
    <x v="0"/>
  </r>
  <r>
    <s v="SM474"/>
    <s v="IC-LN-A-22"/>
    <s v="Mars Land Camp"/>
    <s v="Maan"/>
    <s v="Go to Market"/>
    <s v="Arts, entertainment and recreation"/>
    <s v="Male"/>
    <s v="Above 60"/>
    <s v="Jordanian"/>
    <x v="0"/>
    <x v="0"/>
    <n v="1"/>
    <x v="0"/>
  </r>
  <r>
    <s v="SM592"/>
    <s v="IC-LN-G-25"/>
    <s v="Devon Chocolate Factory Company"/>
    <s v="Maan"/>
    <s v="Go to Market"/>
    <s v="Manufacturing"/>
    <s v="Male"/>
    <s v="46 - 60"/>
    <s v="Jordanian"/>
    <x v="0"/>
    <x v="1"/>
    <n v="0"/>
    <x v="1"/>
  </r>
  <r>
    <s v="SM325"/>
    <s v="IC-LN-M-20"/>
    <s v="Um Zaid Sweets"/>
    <s v="Mafraq"/>
    <s v="Go to Market"/>
    <s v="Manufacturing"/>
    <s v="Female"/>
    <s v="25 - 45"/>
    <s v="Jordanian"/>
    <x v="0"/>
    <x v="1"/>
    <n v="0"/>
    <x v="1"/>
  </r>
  <r>
    <s v="SM327"/>
    <s v="IC-LN-M-20"/>
    <s v="Basil Flower"/>
    <s v="Mafraq"/>
    <s v="Go to Market"/>
    <s v="Agriculture, forestry and fishing"/>
    <s v="Female"/>
    <s v="25 - 45"/>
    <s v="Jordanian"/>
    <x v="0"/>
    <x v="1"/>
    <n v="0"/>
    <x v="1"/>
  </r>
  <r>
    <s v="SM332"/>
    <s v="IC-LN-M-20"/>
    <s v="Um Bashar Kitchen"/>
    <s v="Mafraq"/>
    <s v="Go to Market"/>
    <s v="Manufacturing"/>
    <s v="Female"/>
    <s v="46 - 60"/>
    <s v="Jordanian"/>
    <x v="0"/>
    <x v="0"/>
    <n v="4"/>
    <x v="0"/>
  </r>
  <r>
    <s v="SM335"/>
    <s v="IC-LN-M-20"/>
    <s v="Desert Goodness for Vegetable Drying"/>
    <s v="Mafraq"/>
    <s v="Go to Market"/>
    <s v="Manufacturing"/>
    <s v="Female"/>
    <s v="46 - 60"/>
    <s v="Jordanian"/>
    <x v="0"/>
    <x v="0"/>
    <n v="1"/>
    <x v="0"/>
  </r>
  <r>
    <s v="SM341"/>
    <s v="IC-LN-M-20"/>
    <s v="Umm Ghazi Kitchen – Season Harvest"/>
    <s v="Mafraq"/>
    <s v="Go to Market"/>
    <s v="Manufacturing"/>
    <s v="Female"/>
    <s v="46 - 60"/>
    <s v="Jordanian"/>
    <x v="0"/>
    <x v="1"/>
    <n v="0"/>
    <x v="1"/>
  </r>
  <r>
    <s v="SM342"/>
    <s v="IC-LN-M-20"/>
    <s v="Rasha Saffron (A Dash of Saffron)"/>
    <s v="Mafraq"/>
    <s v="Go to Market"/>
    <s v="Arts, entertainment and recreation"/>
    <s v="Female"/>
    <s v="46 - 60"/>
    <s v="Jordanian"/>
    <x v="0"/>
    <x v="0"/>
    <n v="2"/>
    <x v="0"/>
  </r>
  <r>
    <s v="SM345"/>
    <s v="IC-LN-M-20"/>
    <s v="Belamsa (brand name)"/>
    <s v="Mafraq"/>
    <s v="Go to Market"/>
    <s v="Professional, scientific and technical activities"/>
    <s v="Female"/>
    <s v="18 - 24"/>
    <s v="Jordanian"/>
    <x v="0"/>
    <x v="0"/>
    <n v="3"/>
    <x v="0"/>
  </r>
  <r>
    <s v="SM349"/>
    <s v="IC-LN-M-20"/>
    <s v="Cultivation of sage (maramia)"/>
    <s v="Mafraq"/>
    <s v="Go to Market"/>
    <s v="Agriculture, forestry and fishing"/>
    <s v="Male"/>
    <s v="25 - 45"/>
    <s v="Jordanian"/>
    <x v="0"/>
    <x v="0"/>
    <n v="1"/>
    <x v="0"/>
  </r>
  <r>
    <s v="SM353"/>
    <s v="IC-LN-M-20"/>
    <s v="Shahd for Bees (Honey / Beekeeping)"/>
    <s v="Mafraq"/>
    <s v="Go to Market"/>
    <s v="Agriculture, forestry and fishing"/>
    <s v="Male"/>
    <s v="46 - 60"/>
    <s v="Jordanian"/>
    <x v="0"/>
    <x v="0"/>
    <n v="1"/>
    <x v="0"/>
  </r>
  <r>
    <s v="SM375"/>
    <s v="IC-LN-M-20"/>
    <s v="Lotus Flower Surroundings"/>
    <s v="Mafraq"/>
    <s v="Go to Market"/>
    <s v="Manufacturing"/>
    <s v="Female"/>
    <s v="25 - 45"/>
    <s v="Jordanian"/>
    <x v="0"/>
    <x v="0"/>
    <n v="1"/>
    <x v="0"/>
  </r>
  <r>
    <s v="SM376"/>
    <s v="IC-LN-M-20"/>
    <s v="Al-Khairat Agricultural House"/>
    <s v="Mafraq"/>
    <s v="Go to Market"/>
    <s v="Agriculture, forestry and fishing"/>
    <s v="Female"/>
    <s v="25 - 45"/>
    <s v="Jordanian"/>
    <x v="0"/>
    <x v="0"/>
    <n v="1"/>
    <x v="0"/>
  </r>
  <r>
    <s v="SM378"/>
    <s v="IC-LN-M-20"/>
    <s v="Bint Al-Balad Dairy Products (Cheese and Milk)"/>
    <s v="Mafraq"/>
    <s v="Go to Market"/>
    <s v="Manufacturing"/>
    <s v="Female"/>
    <s v="46 - 60"/>
    <s v="Non-Jordanian"/>
    <x v="0"/>
    <x v="0"/>
    <n v="1"/>
    <x v="0"/>
  </r>
  <r>
    <s v="SM380"/>
    <s v="IC-LN-M-20"/>
    <s v="Baby Cucumber"/>
    <s v="Mafraq"/>
    <s v="Go to Market"/>
    <s v="Human health and social work activities"/>
    <s v="Female"/>
    <s v="25 - 45"/>
    <s v="Jordanian"/>
    <x v="0"/>
    <x v="0"/>
    <n v="1"/>
    <x v="0"/>
  </r>
  <r>
    <s v="SM390"/>
    <s v="IC-LN-M-20"/>
    <s v="Embroidery Art"/>
    <s v="Mafraq"/>
    <s v="Go to Market"/>
    <s v="Manufacturing"/>
    <s v="Female"/>
    <s v="25 - 45"/>
    <s v="Jordanian"/>
    <x v="0"/>
    <x v="1"/>
    <n v="0"/>
    <x v="1"/>
  </r>
  <r>
    <s v="SM391"/>
    <s v="IC-LN-M-20"/>
    <s v="Dairy and Cheese"/>
    <s v="Mafraq"/>
    <s v="Go to Market"/>
    <s v="Manufacturing"/>
    <s v="Female"/>
    <s v="25 - 45"/>
    <s v="Jordanian"/>
    <x v="0"/>
    <x v="0"/>
    <n v="1"/>
    <x v="0"/>
  </r>
  <r>
    <s v="SM589"/>
    <s v="IC-LN-G-25"/>
    <s v="Al Atiq Crochet and Knitting Garment Manufacturing"/>
    <s v="Mafraq"/>
    <s v="Go to Market"/>
    <s v="Manufacturing"/>
    <s v="Female"/>
    <s v="25 - 45"/>
    <s v="Jordanian"/>
    <x v="0"/>
    <x v="0"/>
    <n v="1"/>
    <x v="0"/>
  </r>
  <r>
    <s v="SM593"/>
    <s v="IC-LN-M-20"/>
    <s v="Rahaf for Cartoon Characters for Events"/>
    <s v="Mafraq"/>
    <s v="Go to Market"/>
    <s v="Arts, entertainment and recreation"/>
    <s v="Female"/>
    <s v="46 - 60"/>
    <s v="Jordanian"/>
    <x v="0"/>
    <x v="1"/>
    <n v="0"/>
    <x v="1"/>
  </r>
  <r>
    <s v="SM855"/>
    <s v="IC-G+-28"/>
    <s v="EV Solution"/>
    <s v="Amman"/>
    <s v="Grow+"/>
    <s v="Financial and insurance activities"/>
    <s v="Male"/>
    <s v="25 - 45"/>
    <s v="Jordanian"/>
    <x v="0"/>
    <x v="0"/>
    <n v="1"/>
    <x v="0"/>
  </r>
  <r>
    <s v="SM858"/>
    <s v="IC-G+-28"/>
    <s v="Masar ( Al washaq ar arabi for marketing services )"/>
    <s v="Amman"/>
    <s v="Grow+"/>
    <s v="Professional, scientific and technical activities"/>
    <s v="Male"/>
    <s v="25 - 45"/>
    <s v="Jordanian"/>
    <x v="0"/>
    <x v="1"/>
    <n v="0"/>
    <x v="1"/>
  </r>
  <r>
    <s v="SM907"/>
    <s v="IC-G+-28"/>
    <s v="Incredible Oat"/>
    <s v="Amman"/>
    <s v="Grow+"/>
    <s v="Manufacturing"/>
    <s v="Male"/>
    <s v="25 - 45"/>
    <s v="Jordanian"/>
    <x v="0"/>
    <x v="1"/>
    <n v="0"/>
    <x v="1"/>
  </r>
  <r>
    <s v="SM054"/>
    <s v="IC-G+-28"/>
    <s v="Blue team"/>
    <s v="Aqaba"/>
    <s v="Grow+"/>
    <s v="Water supply; sewerage, waste management and remediation activities"/>
    <s v="Male"/>
    <s v="25 - 45"/>
    <s v="Jordanian"/>
    <x v="0"/>
    <x v="0"/>
    <n v="1"/>
    <x v="0"/>
  </r>
  <r>
    <s v="SM870"/>
    <s v="IC-G+-28"/>
    <s v="Golden sword factory for paper and cardboard industries"/>
    <s v="Aqaba"/>
    <s v="Grow+"/>
    <s v="Manufacturing"/>
    <s v="Male"/>
    <s v="25 - 45"/>
    <s v="Jordanian"/>
    <x v="0"/>
    <x v="0"/>
    <n v="1"/>
    <x v="0"/>
  </r>
  <r>
    <s v="SM911"/>
    <s v="IC-G+-28"/>
    <s v="Al-Huloul Factory"/>
    <s v="Aqaba"/>
    <s v="Grow+"/>
    <s v="Manufacturing"/>
    <s v="Female"/>
    <s v="25 - 45"/>
    <s v="Jordanian"/>
    <x v="0"/>
    <x v="1"/>
    <n v="0"/>
    <x v="1"/>
  </r>
  <r>
    <s v="SM863"/>
    <s v="IC-G+-28"/>
    <s v="Trusty Hands"/>
    <s v="Jarash"/>
    <s v="Grow+"/>
    <s v="Education"/>
    <s v="Female"/>
    <s v="25 - 45"/>
    <s v="Jordanian"/>
    <x v="0"/>
    <x v="0"/>
    <n v="1"/>
    <x v="0"/>
  </r>
  <r>
    <s v="SM852"/>
    <s v="IC-G+-28"/>
    <s v="Beirut Fuel"/>
    <s v="Mafraq"/>
    <s v="Grow+"/>
    <s v="Manufacturing"/>
    <s v="Male"/>
    <s v="46 - 60"/>
    <s v="Jordanian"/>
    <x v="0"/>
    <x v="0"/>
    <n v="1"/>
    <x v="0"/>
  </r>
  <r>
    <s v="SM255"/>
    <s v="IC-AC-J-13"/>
    <s v="Al-Shami Carpentry"/>
    <s v="Ajlun"/>
    <s v="NA"/>
    <s v="Manufacturing"/>
    <s v="Male"/>
    <s v="25 - 45"/>
    <s v="Non-Jordanian"/>
    <x v="0"/>
    <x v="1"/>
    <n v="0"/>
    <x v="1"/>
  </r>
  <r>
    <s v="SM276"/>
    <s v="IC-AC-J-16"/>
    <s v="Um Hamza Guesthouse"/>
    <s v="Ajlun"/>
    <s v="NA"/>
    <s v="Accommodation and food service activities"/>
    <s v="Female"/>
    <s v="46 - 60"/>
    <s v="Jordanian"/>
    <x v="0"/>
    <x v="1"/>
    <n v="0"/>
    <x v="1"/>
  </r>
  <r>
    <s v="SM913"/>
    <s v="IC-LN-G-29"/>
    <s v="alrewaq contracting company"/>
    <s v="Amman"/>
    <s v="NA"/>
    <s v="Construction"/>
    <s v="Male"/>
    <s v="25 - 45"/>
    <s v="Jordanian"/>
    <x v="0"/>
    <x v="1"/>
    <n v="0"/>
    <x v="1"/>
  </r>
  <r>
    <s v="SM444"/>
    <s v="IC-LN-A-22"/>
    <s v="Petroleum Facilities Tank Maintenance"/>
    <s v="Aqaba"/>
    <s v="NA"/>
    <s v="Administrative and support service activities"/>
    <s v="Male"/>
    <s v="25 - 45"/>
    <s v="Jordanian"/>
    <x v="0"/>
    <x v="1"/>
    <n v="0"/>
    <x v="1"/>
  </r>
  <r>
    <s v="SM294"/>
    <s v="IC-AC-IR-17"/>
    <s v="Stickers Land / Printing on Clothes and More"/>
    <s v="Irbid"/>
    <s v="NA"/>
    <s v="Manufacturing"/>
    <s v="Male"/>
    <s v="25 - 45"/>
    <s v="Non-Jordanian"/>
    <x v="0"/>
    <x v="1"/>
    <n v="0"/>
    <x v="1"/>
  </r>
  <r>
    <s v="SM122"/>
    <s v="IC-AC-J-8"/>
    <s v="Nuhi Studio"/>
    <s v="Jarash"/>
    <s v="NA"/>
    <s v="Administrative and support service activities"/>
    <s v="Female"/>
    <s v="25 - 45"/>
    <s v="Jordanian"/>
    <x v="0"/>
    <x v="0"/>
    <n v="1"/>
    <x v="0"/>
  </r>
  <r>
    <s v="SM280"/>
    <s v="IC-AC-J-16"/>
    <s v="Agricultural Expertise for Aromatic Plants and Their Processing"/>
    <s v="Jarash"/>
    <s v="NA"/>
    <s v="Agriculture, forestry and fishing"/>
    <s v="Female"/>
    <s v="46 - 60"/>
    <s v="Jordanian"/>
    <x v="0"/>
    <x v="1"/>
    <n v="0"/>
    <x v="1"/>
  </r>
  <r>
    <s v="SM360"/>
    <s v="IC-LN-J-21"/>
    <s v="Green Spike"/>
    <s v="Jarash"/>
    <s v="NA"/>
    <s v="Agriculture, forestry and fishing"/>
    <s v="Female"/>
    <s v="25 - 45"/>
    <s v="Jordanian"/>
    <x v="0"/>
    <x v="1"/>
    <n v="0"/>
    <x v="1"/>
  </r>
  <r>
    <s v="SM369"/>
    <s v="IC-LN-J-21"/>
    <s v="Magic Feast"/>
    <s v="Jarash"/>
    <s v="NA"/>
    <s v="Manufacturing"/>
    <s v="Female"/>
    <s v="25 - 45"/>
    <s v="Jordanian"/>
    <x v="0"/>
    <x v="1"/>
    <n v="0"/>
    <x v="1"/>
  </r>
  <r>
    <s v="SM372"/>
    <s v="IC-LN-J-21"/>
    <s v="Jerash Dairy"/>
    <s v="Jarash"/>
    <s v="NA"/>
    <s v="Manufacturing"/>
    <s v="Male"/>
    <s v="25 - 45"/>
    <s v="Non-Jordanian"/>
    <x v="0"/>
    <x v="1"/>
    <n v="0"/>
    <x v="1"/>
  </r>
  <r>
    <s v="SM412"/>
    <s v="IC-LN-J-21"/>
    <s v="Um Ahmed Spices"/>
    <s v="Jarash"/>
    <s v="NA"/>
    <s v="Agriculture, forestry and fishing"/>
    <s v="Female"/>
    <s v="46 - 60"/>
    <s v="Jordanian"/>
    <x v="0"/>
    <x v="1"/>
    <n v="0"/>
    <x v="1"/>
  </r>
  <r>
    <s v="SM415"/>
    <s v="IC-LN-J-21"/>
    <s v="Photography"/>
    <s v="Jarash"/>
    <s v="NA"/>
    <s v="Arts, entertainment and recreation"/>
    <s v="Female"/>
    <s v="25 - 45"/>
    <s v="Jordanian"/>
    <x v="0"/>
    <x v="1"/>
    <n v="0"/>
    <x v="1"/>
  </r>
  <r>
    <s v="SM285"/>
    <s v="IC-AC-M-15"/>
    <s v="Needle and Thread"/>
    <s v="Mafraq"/>
    <s v="NA"/>
    <s v="Manufacturing"/>
    <s v="Female"/>
    <s v="46 - 60"/>
    <s v="Jordanian"/>
    <x v="0"/>
    <x v="0"/>
    <n v="1"/>
    <x v="0"/>
  </r>
  <r>
    <s v="SM329"/>
    <s v="IC-LN-M-20"/>
    <s v="Al Fadl Kitchen"/>
    <s v="Mafraq"/>
    <s v="NA"/>
    <s v="Manufacturing"/>
    <s v="Female"/>
    <s v="25 - 45"/>
    <s v="Jordanian"/>
    <x v="0"/>
    <x v="1"/>
    <n v="0"/>
    <x v="1"/>
  </r>
  <r>
    <s v="SM383"/>
    <s v="IC-LN-M-20"/>
    <s v="Aloe Vera"/>
    <s v="Mafraq"/>
    <s v="NA"/>
    <s v="Agriculture, forestry and fishing"/>
    <s v="Female"/>
    <s v="25 - 45"/>
    <s v="Jordanian"/>
    <x v="0"/>
    <x v="1"/>
    <n v="0"/>
    <x v="1"/>
  </r>
  <r>
    <s v="Event Participants unique"/>
    <s v="Event Participants unique"/>
    <s v="شذى organic"/>
    <s v="Mafraq"/>
    <s v="NA"/>
    <s v="NA"/>
    <s v="Female"/>
    <s v="36 - 45"/>
    <s v="Jordanian"/>
    <x v="1"/>
    <x v="0"/>
    <n v="1"/>
    <x v="3"/>
  </r>
  <r>
    <s v="Event Participants unique"/>
    <s v="Event Participants unique"/>
    <s v="Ideal Steps For Project Management Services"/>
    <s v="Amman"/>
    <s v="NA"/>
    <s v="NA"/>
    <s v="Male"/>
    <s v="30 - 35"/>
    <s v="Jordanian"/>
    <x v="1"/>
    <x v="0"/>
    <n v="1"/>
    <x v="3"/>
  </r>
  <r>
    <s v="Event Participants unique"/>
    <s v="Event Participants unique"/>
    <s v="NAHIR AL ATTAA PERFUMES AND COSMETICS TRDING COMPANY"/>
    <s v="Irbid"/>
    <s v="NA"/>
    <s v="NA"/>
    <s v="Female"/>
    <s v="36 - 45"/>
    <s v="Jordanian"/>
    <x v="1"/>
    <x v="0"/>
    <n v="1"/>
    <x v="3"/>
  </r>
  <r>
    <s v="Event Participants unique"/>
    <s v="Event Participants unique"/>
    <s v="Sard"/>
    <s v="Irbid"/>
    <s v="NA"/>
    <s v="NA"/>
    <s v="Male"/>
    <s v="25 - 30"/>
    <s v="Jordanian"/>
    <x v="1"/>
    <x v="0"/>
    <n v="1"/>
    <x v="3"/>
  </r>
  <r>
    <s v="Event Participants unique"/>
    <s v="Event Participants unique"/>
    <s v="مطرزات تراثيه وتقليديه حديثة"/>
    <s v="Al-Karak"/>
    <s v="NA"/>
    <s v="NA"/>
    <s v="Female"/>
    <n v="46"/>
    <s v="Jordanian"/>
    <x v="1"/>
    <x v="0"/>
    <n v="1"/>
    <x v="3"/>
  </r>
  <r>
    <s v="Event Participants unique"/>
    <s v="Event Participants unique"/>
    <s v="مؤسسة حسن عوده للحجر والرخام والفنون المعمارية الخضراء"/>
    <s v="Amman"/>
    <s v="NA"/>
    <s v="NA"/>
    <s v="Male"/>
    <s v="36 - 45"/>
    <s v="Jordanian"/>
    <x v="1"/>
    <x v="0"/>
    <n v="1"/>
    <x v="3"/>
  </r>
  <r>
    <s v="Event Participants unique"/>
    <s v="Event Participants unique"/>
    <s v="VaccineJo"/>
    <s v="Amman"/>
    <s v="NA"/>
    <s v="NA"/>
    <s v="Male"/>
    <s v="36 - 45"/>
    <s v="Jordanian"/>
    <x v="1"/>
    <x v="0"/>
    <n v="1"/>
    <x v="3"/>
  </r>
  <r>
    <s v="Event Participants unique"/>
    <s v="Event Participants unique"/>
    <s v="EraData"/>
    <s v="Amman"/>
    <s v="NA"/>
    <s v="NA"/>
    <s v="Male"/>
    <s v="36 - 45"/>
    <s v="Jordanian"/>
    <x v="1"/>
    <x v="0"/>
    <n v="1"/>
    <x v="3"/>
  </r>
  <r>
    <s v="Event Participants unique"/>
    <s v="Event Participants unique"/>
    <s v="Eco art"/>
    <s v="Aqaba"/>
    <s v="NA"/>
    <s v="NA"/>
    <s v="Male"/>
    <n v="46"/>
    <s v="Jordanian"/>
    <x v="1"/>
    <x v="0"/>
    <n v="1"/>
    <x v="3"/>
  </r>
  <r>
    <s v="Event Participants unique"/>
    <s v="Event Participants unique"/>
    <s v="Kafana-GGEZ"/>
    <s v="Amman"/>
    <s v="NA"/>
    <s v="NA"/>
    <s v="Female"/>
    <s v="36 - 45"/>
    <s v="Jordanian"/>
    <x v="1"/>
    <x v="0"/>
    <n v="1"/>
    <x v="3"/>
  </r>
  <r>
    <s v="Event Participants unique"/>
    <s v="Event Participants unique"/>
    <s v="Designless"/>
    <s v="Amman"/>
    <s v="NA"/>
    <s v="NA"/>
    <s v="Female"/>
    <s v="36 - 45"/>
    <s v="Jordanian"/>
    <x v="1"/>
    <x v="0"/>
    <n v="1"/>
    <x v="3"/>
  </r>
  <r>
    <s v="Event Participants unique"/>
    <s v="Event Participants unique"/>
    <s v="code circle"/>
    <s v="Amman"/>
    <s v="NA"/>
    <s v="NA"/>
    <s v="Male"/>
    <s v="25 - 30"/>
    <s v="Jordanian"/>
    <x v="1"/>
    <x v="0"/>
    <n v="1"/>
    <x v="3"/>
  </r>
  <r>
    <s v="Event Participants unique"/>
    <s v="Event Participants unique"/>
    <s v="vella"/>
    <s v="Al-Karak"/>
    <s v="NA"/>
    <s v="NA"/>
    <s v="Male"/>
    <s v="30 - 35"/>
    <s v="Jordanian"/>
    <x v="1"/>
    <x v="0"/>
    <n v="1"/>
    <x v="3"/>
  </r>
  <r>
    <s v="Event Participants unique"/>
    <s v="Event Participants unique"/>
    <s v="Mourothna Shop"/>
    <s v="Ma'an"/>
    <s v="NA"/>
    <s v="NA"/>
    <s v="Male"/>
    <s v="18 - 24"/>
    <s v="Jordanian"/>
    <x v="1"/>
    <x v="0"/>
    <n v="1"/>
    <x v="3"/>
  </r>
  <r>
    <s v="Event Participants unique"/>
    <s v="Event Participants unique"/>
    <s v="حلويات خيرات الجنوب"/>
    <s v="Al-Tafileh"/>
    <s v="NA"/>
    <s v="NA"/>
    <s v="Male"/>
    <s v="30 - 35"/>
    <s v="Jordanian"/>
    <x v="1"/>
    <x v="0"/>
    <n v="1"/>
    <x v="3"/>
  </r>
  <r>
    <s v="Event Participants unique"/>
    <s v="Event Participants unique"/>
    <s v="ElegoSys"/>
    <s v="Amman"/>
    <s v="NA"/>
    <s v="NA"/>
    <s v="Male"/>
    <s v="18 - 24"/>
    <s v="Jordanian"/>
    <x v="1"/>
    <x v="0"/>
    <n v="1"/>
    <x v="3"/>
  </r>
  <r>
    <s v="Event Participants unique"/>
    <s v="Event Participants unique"/>
    <s v="Project Management Consultant and Training Facilitator"/>
    <s v="Amman"/>
    <s v="NA"/>
    <s v="NA"/>
    <s v="Female"/>
    <s v="36 - 45"/>
    <s v="Jordanian"/>
    <x v="1"/>
    <x v="0"/>
    <n v="1"/>
    <x v="3"/>
  </r>
  <r>
    <s v="Event Participants unique"/>
    <s v="Event Participants unique"/>
    <s v="Impact MENA"/>
    <s v="Amman"/>
    <s v="NA"/>
    <s v="NA"/>
    <s v="Male"/>
    <n v="46"/>
    <s v="Jordanian"/>
    <x v="1"/>
    <x v="0"/>
    <n v="1"/>
    <x v="3"/>
  </r>
  <r>
    <s v="Event Participants unique"/>
    <s v="Event Participants unique"/>
    <s v="SetaX"/>
    <s v="Aqaba"/>
    <s v="NA"/>
    <s v="NA"/>
    <s v="Female"/>
    <s v="18 - 24"/>
    <s v="Jordanian"/>
    <x v="1"/>
    <x v="0"/>
    <n v="1"/>
    <x v="3"/>
  </r>
  <r>
    <s v="Event Participants unique"/>
    <s v="Event Participants unique"/>
    <s v="بيت الخير"/>
    <s v="Mafraq"/>
    <s v="NA"/>
    <s v="NA"/>
    <s v="Male"/>
    <s v="36 - 45"/>
    <s v="Jordanian"/>
    <x v="1"/>
    <x v="0"/>
    <n v="1"/>
    <x v="3"/>
  </r>
  <r>
    <s v="Event Participants unique"/>
    <s v="Event Participants unique"/>
    <s v="Artlamora"/>
    <s v="Aqaba"/>
    <s v="NA"/>
    <s v="NA"/>
    <s v="Female"/>
    <s v="30 - 35"/>
    <s v="Jordanian"/>
    <x v="1"/>
    <x v="0"/>
    <n v="1"/>
    <x v="3"/>
  </r>
  <r>
    <s v="Event Participants unique"/>
    <s v="Event Participants unique"/>
    <s v="seruva"/>
    <s v="Aqaba"/>
    <s v="NA"/>
    <s v="NA"/>
    <s v="Female"/>
    <s v="25 - 30"/>
    <s v="Jordanian"/>
    <x v="1"/>
    <x v="0"/>
    <n v="1"/>
    <x v="3"/>
  </r>
  <r>
    <s v="Event Participants unique"/>
    <s v="Event Participants unique"/>
    <s v="OPBT Technologies"/>
    <s v="Amman"/>
    <s v="NA"/>
    <s v="NA"/>
    <s v="Male"/>
    <s v="18 - 24"/>
    <s v="Jordanian"/>
    <x v="1"/>
    <x v="0"/>
    <n v="1"/>
    <x v="3"/>
  </r>
  <r>
    <s v="Event Participants unique"/>
    <s v="Event Participants unique"/>
    <s v="Dr Wejdan Hasanat Beauty Clinic"/>
    <s v="Ma'an"/>
    <s v="NA"/>
    <s v="NA"/>
    <s v="Female"/>
    <s v="25 - 30"/>
    <s v="Jordanian"/>
    <x v="1"/>
    <x v="0"/>
    <n v="1"/>
    <x v="3"/>
  </r>
  <r>
    <s v="Event Participants unique"/>
    <s v="Event Participants unique"/>
    <s v="APSOL Digital Platform for teaching Arabic for Speakers of Other languages &amp; training instructors"/>
    <s v="Irbid"/>
    <s v="NA"/>
    <s v="NA"/>
    <s v="Female"/>
    <n v="46"/>
    <s v="Jordanian"/>
    <x v="1"/>
    <x v="0"/>
    <n v="1"/>
    <x v="3"/>
  </r>
  <r>
    <s v="Event Participants unique"/>
    <s v="Event Participants unique"/>
    <s v="SYNIRO"/>
    <s v="Amman"/>
    <s v="NA"/>
    <s v="NA"/>
    <s v="Male"/>
    <s v="25 - 30"/>
    <s v="Jordanian"/>
    <x v="1"/>
    <x v="0"/>
    <n v="1"/>
    <x v="3"/>
  </r>
  <r>
    <s v="Event Participants unique"/>
    <s v="Event Participants unique"/>
    <s v="AquaGuard AI"/>
    <s v="Amman"/>
    <s v="NA"/>
    <s v="NA"/>
    <s v="Male"/>
    <s v="18 - 24"/>
    <s v="Jordanian"/>
    <x v="1"/>
    <x v="0"/>
    <n v="1"/>
    <x v="3"/>
  </r>
  <r>
    <s v="Event Participants unique"/>
    <s v="Event Participants unique"/>
    <s v="SIQ"/>
    <s v="Ma'an"/>
    <s v="NA"/>
    <s v="NA"/>
    <s v="Male"/>
    <s v="18 - 24"/>
    <s v="Jordanian"/>
    <x v="1"/>
    <x v="0"/>
    <n v="1"/>
    <x v="3"/>
  </r>
  <r>
    <s v="Event Participants unique"/>
    <s v="Event Participants unique"/>
    <s v="شركة الأصيل التقني للبرمجة الحاسوبية   ذ.م.م"/>
    <s v="Irbid"/>
    <s v="NA"/>
    <s v="NA"/>
    <s v="Female"/>
    <s v="18 - 24"/>
    <s v="Jordanian"/>
    <x v="1"/>
    <x v="0"/>
    <n v="1"/>
    <x v="3"/>
  </r>
  <r>
    <s v="Event Participants unique"/>
    <s v="Event Participants unique"/>
    <s v="مطبخ سله الاحلام"/>
    <s v="Mafraq"/>
    <s v="NA"/>
    <s v="NA"/>
    <s v="Female"/>
    <s v="36 - 45"/>
    <s v="Jordanian"/>
    <x v="1"/>
    <x v="0"/>
    <n v="1"/>
    <x v="3"/>
  </r>
  <r>
    <s v="Event Participants unique"/>
    <s v="Event Participants unique"/>
    <s v="معمل البان الخشيبه"/>
    <s v="Jerash"/>
    <s v="NA"/>
    <s v="NA"/>
    <s v="Female"/>
    <n v="46"/>
    <s v="Jordanian"/>
    <x v="1"/>
    <x v="0"/>
    <n v="1"/>
    <x v="3"/>
  </r>
  <r>
    <s v="Event Participants unique"/>
    <s v="Event Participants unique"/>
    <s v="صفاء للصيانة المنزلية والتدريب"/>
    <s v="Irbid"/>
    <s v="NA"/>
    <s v="NA"/>
    <s v="Female"/>
    <n v="46"/>
    <s v="Jordanian"/>
    <x v="1"/>
    <x v="0"/>
    <n v="1"/>
    <x v="3"/>
  </r>
  <r>
    <s v="Event Participants unique"/>
    <s v="Event Participants unique"/>
    <s v="HISI"/>
    <s v="Amman"/>
    <s v="NA"/>
    <s v="NA"/>
    <s v="Male"/>
    <s v="30 - 35"/>
    <s v="Jordanian"/>
    <x v="1"/>
    <x v="0"/>
    <n v="1"/>
    <x v="3"/>
  </r>
  <r>
    <s v="Event Participants unique"/>
    <s v="Event Participants unique"/>
    <s v="Fawaz Mousa Al-Khlifat and partner co."/>
    <s v="Aqaba"/>
    <s v="NA"/>
    <s v="NA"/>
    <s v="Male"/>
    <s v="36 - 45"/>
    <s v="Jordanian"/>
    <x v="1"/>
    <x v="0"/>
    <n v="1"/>
    <x v="3"/>
  </r>
  <r>
    <s v="Event Participants unique"/>
    <s v="Event Participants unique"/>
    <s v="ScoutMena,Ltd."/>
    <s v="Amman"/>
    <s v="NA"/>
    <s v="NA"/>
    <s v="Male"/>
    <n v="46"/>
    <s v="Jordanian"/>
    <x v="1"/>
    <x v="0"/>
    <n v="1"/>
    <x v="3"/>
  </r>
  <r>
    <s v="Event Participants unique"/>
    <s v="Event Participants unique"/>
    <s v="Petra turmeric"/>
    <s v="Ma'an"/>
    <s v="NA"/>
    <s v="NA"/>
    <s v="Female"/>
    <s v="30 - 35"/>
    <s v="Jordanian"/>
    <x v="1"/>
    <x v="0"/>
    <n v="1"/>
    <x v="3"/>
  </r>
  <r>
    <s v="Event Participants unique"/>
    <s v="Event Participants unique"/>
    <s v="سهام احمد لصناعة الجميد مهنه منزليه"/>
    <s v="Mafraq"/>
    <s v="NA"/>
    <s v="NA"/>
    <s v="Female"/>
    <n v="46"/>
    <s v="Jordanian"/>
    <x v="1"/>
    <x v="0"/>
    <n v="1"/>
    <x v="3"/>
  </r>
  <r>
    <s v="Event Participants unique"/>
    <s v="Event Participants unique"/>
    <s v="Reiwa for Water Technologies"/>
    <s v="Zarqa"/>
    <s v="NA"/>
    <s v="NA"/>
    <s v="Female"/>
    <s v="30 - 35"/>
    <s v="Jordanian"/>
    <x v="1"/>
    <x v="0"/>
    <n v="1"/>
    <x v="3"/>
  </r>
  <r>
    <s v="Event Participants unique"/>
    <s v="Event Participants unique"/>
    <s v="سحر الطبيعة"/>
    <s v="Al-Karak"/>
    <s v="NA"/>
    <s v="NA"/>
    <s v="Female"/>
    <s v="25 - 30"/>
    <s v="Jordanian"/>
    <x v="1"/>
    <x v="0"/>
    <n v="1"/>
    <x v="3"/>
  </r>
  <r>
    <s v="Event Participants unique"/>
    <s v="Event Participants unique"/>
    <s v="العنايه بالمنتجات الطبيعيه صالون المحبه"/>
    <s v="Al-Karak"/>
    <s v="NA"/>
    <s v="NA"/>
    <s v="Female"/>
    <s v="36 - 45"/>
    <s v="Jordanian"/>
    <x v="1"/>
    <x v="0"/>
    <n v="1"/>
    <x v="3"/>
  </r>
  <r>
    <s v="Event Participants unique"/>
    <s v="Event Participants unique"/>
    <s v="AquaGuard"/>
    <s v="Al-Balqa'a"/>
    <s v="NA"/>
    <s v="NA"/>
    <s v="Male"/>
    <s v="18 - 24"/>
    <s v="Jordanian"/>
    <x v="1"/>
    <x v="0"/>
    <n v="1"/>
    <x v="3"/>
  </r>
  <r>
    <s v="Event Participants unique"/>
    <s v="Event Participants unique"/>
    <s v="مخبوزات معجنات"/>
    <s v="Irbid"/>
    <s v="NA"/>
    <s v="NA"/>
    <s v="Female"/>
    <s v="30 - 35"/>
    <s v="Jordanian"/>
    <x v="1"/>
    <x v="0"/>
    <n v="1"/>
    <x v="3"/>
  </r>
  <r>
    <s v="Event Participants unique"/>
    <s v="Event Participants unique"/>
    <s v="Shay rahaf"/>
    <s v="Amman"/>
    <s v="NA"/>
    <s v="NA"/>
    <s v="Male"/>
    <s v="30 - 35"/>
    <s v="Jordanian"/>
    <x v="1"/>
    <x v="0"/>
    <n v="1"/>
    <x v="3"/>
  </r>
  <r>
    <s v="Event Participants unique"/>
    <s v="Event Participants unique"/>
    <s v="مطبخ انتاجي عدن المجالي الصحي الزراعي"/>
    <s v="Al-Karak"/>
    <s v="NA"/>
    <s v="NA"/>
    <s v="Female"/>
    <s v="25 - 30"/>
    <s v="Jordanian"/>
    <x v="1"/>
    <x v="0"/>
    <n v="1"/>
    <x v="3"/>
  </r>
  <r>
    <s v="Event Participants unique"/>
    <s v="Event Participants unique"/>
    <s v="rawnaq"/>
    <s v="Al-Tafileh"/>
    <s v="NA"/>
    <s v="NA"/>
    <s v="Female"/>
    <s v="25 - 30"/>
    <s v="Jordanian"/>
    <x v="1"/>
    <x v="0"/>
    <n v="1"/>
    <x v="3"/>
  </r>
  <r>
    <s v="Event Participants unique"/>
    <s v="Event Participants unique"/>
    <s v="Dana horizon hotel"/>
    <s v="Al-Tafileh"/>
    <s v="NA"/>
    <s v="NA"/>
    <s v="Male"/>
    <s v="25 - 30"/>
    <s v="Jordanian"/>
    <x v="1"/>
    <x v="0"/>
    <n v="1"/>
    <x v="3"/>
  </r>
  <r>
    <s v="Event Participants unique"/>
    <s v="Event Participants unique"/>
    <s v="مؤسسه نسمه حجاج للخدمات الزراعيه"/>
    <s v="Ma'an"/>
    <s v="NA"/>
    <s v="NA"/>
    <s v="Male"/>
    <s v="25 - 30"/>
    <s v="Jordanian"/>
    <x v="1"/>
    <x v="0"/>
    <n v="1"/>
    <x v="3"/>
  </r>
  <r>
    <s v="Event Participants unique"/>
    <s v="Event Participants unique"/>
    <s v="Qatra"/>
    <s v="Aqaba"/>
    <s v="NA"/>
    <s v="NA"/>
    <s v="Male"/>
    <s v="18 - 24"/>
    <s v="Jordanian"/>
    <x v="1"/>
    <x v="0"/>
    <n v="1"/>
    <x v="3"/>
  </r>
  <r>
    <s v="Event Participants unique"/>
    <s v="Event Participants unique"/>
    <s v="تامر الحوامدة لصناعة الإعلان"/>
    <s v="Al-Tafileh"/>
    <s v="NA"/>
    <s v="NA"/>
    <s v="Male"/>
    <s v="36 - 45"/>
    <s v="Jordanian"/>
    <x v="1"/>
    <x v="0"/>
    <n v="1"/>
    <x v="3"/>
  </r>
  <r>
    <s v="Event Participants unique"/>
    <s v="Event Participants unique"/>
    <s v="Nowaty iCode"/>
    <s v="Irbid"/>
    <s v="NA"/>
    <s v="NA"/>
    <s v="Male"/>
    <n v="46"/>
    <s v="Jordanian"/>
    <x v="1"/>
    <x v="0"/>
    <n v="1"/>
    <x v="3"/>
  </r>
  <r>
    <s v="Event Participants unique"/>
    <s v="Event Participants unique"/>
    <s v="South Fashion"/>
    <s v="Ma'an"/>
    <s v="NA"/>
    <s v="NA"/>
    <s v="Female"/>
    <n v="46"/>
    <s v="Jordanian"/>
    <x v="1"/>
    <x v="0"/>
    <n v="1"/>
    <x v="3"/>
  </r>
  <r>
    <s v="Event Participants unique"/>
    <s v="Event Participants unique"/>
    <s v="مزرعة الورقيات الذكية"/>
    <s v="Mafraq"/>
    <s v="NA"/>
    <s v="NA"/>
    <s v="Female"/>
    <s v="36 - 45"/>
    <s v="Jordanian"/>
    <x v="1"/>
    <x v="0"/>
    <n v="1"/>
    <x v="3"/>
  </r>
  <r>
    <s v="Event Participants unique"/>
    <s v="Event Participants unique"/>
    <s v="Hygiene mirror"/>
    <s v="Aqaba"/>
    <s v="NA"/>
    <s v="NA"/>
    <s v="Female"/>
    <s v="25 - 30"/>
    <s v="Jordanian"/>
    <x v="1"/>
    <x v="0"/>
    <n v="1"/>
    <x v="3"/>
  </r>
  <r>
    <s v="Event Participants unique"/>
    <s v="Event Participants unique"/>
    <s v="Avicenna"/>
    <s v="Mafraq"/>
    <s v="NA"/>
    <s v="NA"/>
    <s v="Male"/>
    <s v="36 - 45"/>
    <s v="Jordanian"/>
    <x v="1"/>
    <x v="0"/>
    <n v="1"/>
    <x v="3"/>
  </r>
  <r>
    <s v="Event Participants unique"/>
    <s v="Event Participants unique"/>
    <s v="شركة إحياء بلا حدود"/>
    <s v="Aqaba"/>
    <s v="NA"/>
    <s v="NA"/>
    <s v="Female"/>
    <s v="30 - 35"/>
    <s v="Jordanian"/>
    <x v="1"/>
    <x v="0"/>
    <n v="1"/>
    <x v="3"/>
  </r>
  <r>
    <s v="Event Participants unique"/>
    <s v="Event Participants unique"/>
    <s v="البان واجبان الشوق"/>
    <s v="Mafraq"/>
    <s v="NA"/>
    <s v="NA"/>
    <s v="Female"/>
    <s v="36 - 45"/>
    <s v="Jordanian"/>
    <x v="1"/>
    <x v="0"/>
    <n v="1"/>
    <x v="3"/>
  </r>
  <r>
    <s v="Event Participants unique"/>
    <s v="Event Participants unique"/>
    <s v="Hekayatna"/>
    <s v="Ma'an"/>
    <s v="NA"/>
    <s v="NA"/>
    <s v="Female"/>
    <s v="25 - 30"/>
    <s v="Jordanian"/>
    <x v="1"/>
    <x v="0"/>
    <n v="1"/>
    <x v="3"/>
  </r>
  <r>
    <s v="Event Participants unique"/>
    <s v="Event Participants unique"/>
    <s v="شركة ابتهال السرحان الزراعية"/>
    <s v="Mafraq"/>
    <s v="NA"/>
    <s v="NA"/>
    <s v="Female"/>
    <s v="30 - 35"/>
    <s v="Jordanian"/>
    <x v="1"/>
    <x v="0"/>
    <n v="1"/>
    <x v="3"/>
  </r>
  <r>
    <s v="Event Participants unique"/>
    <s v="Event Participants unique"/>
    <s v="السهول الخضراء"/>
    <s v="Mafraq"/>
    <s v="NA"/>
    <s v="NA"/>
    <s v="Male"/>
    <s v="18 - 24"/>
    <s v="Jordanian"/>
    <x v="1"/>
    <x v="0"/>
    <n v="1"/>
    <x v="3"/>
  </r>
  <r>
    <s v="Event Participants unique"/>
    <s v="Event Participants unique"/>
    <s v="Aqaba artifacts"/>
    <s v="Aqaba"/>
    <s v="NA"/>
    <s v="NA"/>
    <s v="Male"/>
    <s v="25 - 30"/>
    <s v="Jordanian"/>
    <x v="1"/>
    <x v="0"/>
    <n v="1"/>
    <x v="3"/>
  </r>
  <r>
    <s v="Event Participants unique"/>
    <s v="Event Participants unique"/>
    <s v="الأرض الخضراء"/>
    <s v="Mafraq"/>
    <s v="NA"/>
    <s v="NA"/>
    <s v="Female"/>
    <s v="36 - 45"/>
    <s v="Jordanian"/>
    <x v="1"/>
    <x v="0"/>
    <n v="1"/>
    <x v="3"/>
  </r>
  <r>
    <s v="Event Participants unique"/>
    <s v="Event Participants unique"/>
    <s v="الرونق"/>
    <s v="Al-Tafileh"/>
    <s v="NA"/>
    <s v="NA"/>
    <s v="Female"/>
    <s v="25 - 30"/>
    <s v="Jordanian"/>
    <x v="1"/>
    <x v="0"/>
    <n v="1"/>
    <x v="3"/>
  </r>
  <r>
    <s v="Event Participants unique"/>
    <s v="Event Participants unique"/>
    <s v="BioMEMS AI"/>
    <s v="Amman"/>
    <s v="NA"/>
    <s v="NA"/>
    <s v="Female"/>
    <s v="36 - 45"/>
    <s v="Jordanian"/>
    <x v="1"/>
    <x v="0"/>
    <n v="1"/>
    <x v="3"/>
  </r>
  <r>
    <s v="Event Participants unique"/>
    <s v="Event Participants unique"/>
    <s v="روضة الطفل الموهوب"/>
    <s v="Aqaba"/>
    <s v="NA"/>
    <s v="NA"/>
    <s v="Female"/>
    <s v="25 - 30"/>
    <s v="Jordanian"/>
    <x v="1"/>
    <x v="0"/>
    <n v="1"/>
    <x v="3"/>
  </r>
  <r>
    <s v="Event Participants unique"/>
    <s v="Event Participants unique"/>
    <s v="oia"/>
    <s v="Zarqa"/>
    <s v="NA"/>
    <s v="NA"/>
    <s v="Female"/>
    <s v="30 - 35"/>
    <s v="Jordanian"/>
    <x v="1"/>
    <x v="0"/>
    <n v="1"/>
    <x v="3"/>
  </r>
  <r>
    <s v="Event Participants unique"/>
    <s v="Event Participants unique"/>
    <s v="Rasha Obaidat Sewing Workshop"/>
    <s v="Irbid"/>
    <s v="NA"/>
    <s v="NA"/>
    <s v="Female"/>
    <s v="18 - 24"/>
    <s v="Jordanian"/>
    <x v="1"/>
    <x v="0"/>
    <n v="1"/>
    <x v="3"/>
  </r>
  <r>
    <s v="Event Participants unique"/>
    <s v="Event Participants unique"/>
    <s v="Balcony EcoTower – Hydroponic Intelligent Systems of Irrigation"/>
    <s v="Amman"/>
    <s v="NA"/>
    <s v="NA"/>
    <s v="Female"/>
    <s v="25 - 30"/>
    <s v="Jordanian"/>
    <x v="1"/>
    <x v="0"/>
    <n v="1"/>
    <x v="3"/>
  </r>
  <r>
    <s v="Event Participants unique"/>
    <s v="Event Participants unique"/>
    <s v="Khairat Alshobak"/>
    <s v="Amman"/>
    <s v="NA"/>
    <s v="NA"/>
    <s v="Male"/>
    <n v="46"/>
    <s v="Jordanian"/>
    <x v="1"/>
    <x v="0"/>
    <n v="1"/>
    <x v="3"/>
  </r>
  <r>
    <s v="Event Participants unique"/>
    <s v="Event Participants unique"/>
    <s v="Khudra Connect"/>
    <s v="Irbid"/>
    <s v="NA"/>
    <s v="NA"/>
    <s v="Male"/>
    <s v="30 - 35"/>
    <s v="Jordanian"/>
    <x v="1"/>
    <x v="0"/>
    <n v="1"/>
    <x v="3"/>
  </r>
  <r>
    <s v="Event Participants unique"/>
    <s v="Event Participants unique"/>
    <s v="LaserLink"/>
    <s v="Ajloun"/>
    <s v="NA"/>
    <s v="NA"/>
    <s v="Male"/>
    <s v="30 - 35"/>
    <s v="Jordanian"/>
    <x v="1"/>
    <x v="0"/>
    <n v="1"/>
    <x v="3"/>
  </r>
  <r>
    <s v="Event Participants unique"/>
    <s v="Event Participants unique"/>
    <s v="Sustainable Alternatives paper factory"/>
    <s v="Aqaba"/>
    <s v="NA"/>
    <s v="NA"/>
    <s v="Male"/>
    <n v="46"/>
    <s v="Jordanian"/>
    <x v="1"/>
    <x v="0"/>
    <n v="1"/>
    <x v="3"/>
  </r>
  <r>
    <s v="Event Participants unique"/>
    <s v="Event Participants unique"/>
    <s v="IMDAA ECOSYSTEM  |إمضاء"/>
    <s v="Amman"/>
    <s v="NA"/>
    <s v="NA"/>
    <s v="Female"/>
    <s v="18 - 24"/>
    <s v="Jordanian"/>
    <x v="1"/>
    <x v="0"/>
    <n v="1"/>
    <x v="3"/>
  </r>
  <r>
    <s v="Event Participants unique"/>
    <s v="Event Participants unique"/>
    <s v="Olistic"/>
    <s v="Madaba"/>
    <s v="NA"/>
    <s v="NA"/>
    <s v="Male"/>
    <s v="36 - 45"/>
    <s v="Jordanian"/>
    <x v="1"/>
    <x v="0"/>
    <n v="1"/>
    <x v="3"/>
  </r>
  <r>
    <s v="Event Participants unique"/>
    <s v="Event Participants unique"/>
    <s v="w-cope"/>
    <s v="Zarqa"/>
    <s v="NA"/>
    <s v="NA"/>
    <s v="Male"/>
    <s v="18 - 24"/>
    <s v="Jordanian"/>
    <x v="1"/>
    <x v="0"/>
    <n v="1"/>
    <x v="3"/>
  </r>
  <r>
    <s v="Event Participants unique"/>
    <s v="Event Participants unique"/>
    <s v="Healthy Farm By Shaymaa"/>
    <s v="Al-Karak"/>
    <s v="NA"/>
    <s v="NA"/>
    <s v="Female"/>
    <s v="30 - 35"/>
    <s v="Jordanian"/>
    <x v="1"/>
    <x v="0"/>
    <n v="1"/>
    <x v="3"/>
  </r>
  <r>
    <s v="Event Participants unique"/>
    <s v="Event Participants unique"/>
    <s v="Bute"/>
    <s v="Ma'an"/>
    <s v="NA"/>
    <s v="NA"/>
    <s v="Male"/>
    <s v="18 - 24"/>
    <s v="Jordanian"/>
    <x v="1"/>
    <x v="0"/>
    <n v="1"/>
    <x v="3"/>
  </r>
  <r>
    <s v="Event Participants unique"/>
    <s v="Event Participants unique"/>
    <s v="Crafts house"/>
    <s v="Al-Karak"/>
    <s v="NA"/>
    <s v="NA"/>
    <s v="Female"/>
    <s v="36 - 45"/>
    <s v="Jordanian"/>
    <x v="1"/>
    <x v="0"/>
    <n v="1"/>
    <x v="3"/>
  </r>
  <r>
    <s v="Event Participants unique"/>
    <s v="Event Participants unique"/>
    <s v="pearls cosmetics"/>
    <s v="Al-Karak"/>
    <s v="NA"/>
    <s v="NA"/>
    <s v="Female"/>
    <n v="46"/>
    <s v="Jordanian"/>
    <x v="1"/>
    <x v="0"/>
    <n v="1"/>
    <x v="3"/>
  </r>
  <r>
    <s v="Event Participants unique"/>
    <s v="Event Participants unique"/>
    <s v="Asma Arts"/>
    <s v="Al-Tafileh"/>
    <s v="NA"/>
    <s v="NA"/>
    <s v="Female"/>
    <s v="25 - 30"/>
    <s v="Jordanian"/>
    <x v="1"/>
    <x v="0"/>
    <n v="1"/>
    <x v="3"/>
  </r>
  <r>
    <s v="Event Participants unique"/>
    <s v="Event Participants unique"/>
    <s v="SignTour"/>
    <s v="Irbid"/>
    <s v="NA"/>
    <s v="NA"/>
    <s v="Female"/>
    <s v="18 - 24"/>
    <s v="Jordanian"/>
    <x v="1"/>
    <x v="0"/>
    <n v="1"/>
    <x v="3"/>
  </r>
  <r>
    <s v="Event Participants unique"/>
    <s v="Event Participants unique"/>
    <s v="منى البدور لصناعة الحلويات واعداد الولأئم"/>
    <s v="Al-Tafileh"/>
    <s v="NA"/>
    <s v="NA"/>
    <s v="Female"/>
    <n v="46"/>
    <s v="Jordanian"/>
    <x v="1"/>
    <x v="0"/>
    <n v="1"/>
    <x v="3"/>
  </r>
  <r>
    <s v="Event Participants unique"/>
    <s v="Event Participants unique"/>
    <s v="Alsoltana crochet"/>
    <s v="Al-Karak"/>
    <s v="NA"/>
    <s v="NA"/>
    <s v="Female"/>
    <n v="46"/>
    <s v="Jordanian"/>
    <x v="1"/>
    <x v="0"/>
    <n v="1"/>
    <x v="3"/>
  </r>
  <r>
    <s v="Event Participants unique"/>
    <s v="Event Participants unique"/>
    <s v="Flamingo Store"/>
    <s v="Al-Tafileh"/>
    <s v="NA"/>
    <s v="NA"/>
    <s v="Female"/>
    <s v="25 - 30"/>
    <s v="Jordanian"/>
    <x v="1"/>
    <x v="0"/>
    <n v="1"/>
    <x v="3"/>
  </r>
  <r>
    <s v="Event Participants unique"/>
    <s v="Event Participants unique"/>
    <s v="حضانة أطفال الهدى"/>
    <s v="Al-Karak"/>
    <s v="NA"/>
    <s v="NA"/>
    <s v="Female"/>
    <s v="25 - 30"/>
    <s v="Jordanian"/>
    <x v="1"/>
    <x v="0"/>
    <n v="1"/>
    <x v="3"/>
  </r>
  <r>
    <s v="Event Participants unique"/>
    <s v="Event Participants unique"/>
    <s v="iPARK - Royal Scientific Society"/>
    <s v="Amman"/>
    <s v="NA"/>
    <s v="NA"/>
    <s v="Male"/>
    <s v="30 - 35"/>
    <s v="Jordanian"/>
    <x v="1"/>
    <x v="0"/>
    <n v="1"/>
    <x v="3"/>
  </r>
  <r>
    <s v="Event Participants unique"/>
    <s v="Event Participants unique"/>
    <s v="Partners for Good"/>
    <s v="Amman"/>
    <s v="NA"/>
    <s v="NA"/>
    <s v="Male"/>
    <s v="36 - 45"/>
    <s v="Jordanian"/>
    <x v="1"/>
    <x v="0"/>
    <n v="1"/>
    <x v="3"/>
  </r>
  <r>
    <s v="Event Participants unique"/>
    <s v="Event Participants unique"/>
    <s v="GREEN HANDS FOR LANDSCAPING &amp; TRAINING"/>
    <s v="Irbid"/>
    <s v="NA"/>
    <s v="NA"/>
    <s v="Female"/>
    <s v="36 - 45"/>
    <s v="Jordanian"/>
    <x v="1"/>
    <x v="0"/>
    <n v="1"/>
    <x v="3"/>
  </r>
  <r>
    <s v="Event Participants unique"/>
    <s v="Event Participants unique"/>
    <s v="Jordan River Foundation"/>
    <s v="Amman"/>
    <s v="NA"/>
    <s v="NA"/>
    <s v="Male"/>
    <s v="36 - 45"/>
    <s v="Jordanian"/>
    <x v="1"/>
    <x v="0"/>
    <n v="1"/>
    <x v="3"/>
  </r>
  <r>
    <s v="Event Participants unique"/>
    <s v="Event Participants unique"/>
    <s v="Tafila Technical University"/>
    <s v="Al-Tafileh"/>
    <s v="NA"/>
    <s v="NA"/>
    <s v="Male"/>
    <s v="36 - 45"/>
    <s v="Jordanian"/>
    <x v="1"/>
    <x v="0"/>
    <n v="1"/>
    <x v="3"/>
  </r>
  <r>
    <s v="Event Participants unique"/>
    <s v="Event Participants unique"/>
    <s v="Dana first view Hotel"/>
    <s v="Al-Tafileh"/>
    <s v="NA"/>
    <s v="NA"/>
    <s v="Male"/>
    <s v="18 - 24"/>
    <s v="Jordanian"/>
    <x v="1"/>
    <x v="0"/>
    <n v="1"/>
    <x v="3"/>
  </r>
  <r>
    <s v="Event Participants unique"/>
    <s v="Event Participants unique"/>
    <s v="Imdaa ecosystem |إمضاء"/>
    <s v="Zarqa"/>
    <s v="NA"/>
    <s v="NA"/>
    <s v="Male"/>
    <s v="18 - 24"/>
    <s v="Jordanian"/>
    <x v="1"/>
    <x v="0"/>
    <n v="1"/>
    <x v="3"/>
  </r>
  <r>
    <s v="Event Participants unique"/>
    <s v="Event Participants unique"/>
    <s v="Rawan's sewing"/>
    <s v="Irbid"/>
    <s v="NA"/>
    <s v="NA"/>
    <s v="Female"/>
    <s v="18 - 24"/>
    <s v="Jordanian"/>
    <x v="1"/>
    <x v="0"/>
    <n v="1"/>
    <x v="3"/>
  </r>
  <r>
    <s v="Event Participants unique"/>
    <s v="Event Participants unique"/>
    <s v="Mushroom land"/>
    <s v="Irbid"/>
    <s v="NA"/>
    <s v="NA"/>
    <s v="Female"/>
    <s v="30 - 35"/>
    <s v="Jordanian"/>
    <x v="1"/>
    <x v="0"/>
    <n v="1"/>
    <x v="3"/>
  </r>
  <r>
    <s v="Event Participants unique"/>
    <s v="Event Participants unique"/>
    <s v="scientific Research and Innovation Fund"/>
    <s v="Amman"/>
    <s v="NA"/>
    <s v="NA"/>
    <s v="Female"/>
    <s v="36 - 45"/>
    <s v="Jordanian"/>
    <x v="1"/>
    <x v="0"/>
    <n v="1"/>
    <x v="3"/>
  </r>
  <r>
    <s v="Event Participants unique"/>
    <s v="Event Participants unique"/>
    <s v="Robotics lab -Innovative generation"/>
    <s v="Amman"/>
    <s v="NA"/>
    <s v="NA"/>
    <s v="Female"/>
    <s v="36 - 45"/>
    <s v="Jordanian"/>
    <x v="1"/>
    <x v="0"/>
    <n v="1"/>
    <x v="3"/>
  </r>
  <r>
    <s v="Event Participants unique"/>
    <s v="Event Participants unique"/>
    <s v="مؤسسة بيت الاوليفيرا للصابون الطبيعي ومستحضرات التجميل"/>
    <s v="Irbid"/>
    <s v="NA"/>
    <s v="NA"/>
    <s v="Female"/>
    <s v="36 - 45"/>
    <s v="Jordanian"/>
    <x v="1"/>
    <x v="0"/>
    <n v="1"/>
    <x v="3"/>
  </r>
  <r>
    <s v="Event Participants unique"/>
    <s v="Event Participants unique"/>
    <s v="Batoolcrafts"/>
    <s v="Irbid"/>
    <s v="NA"/>
    <s v="NA"/>
    <s v="Female"/>
    <s v="30 - 35"/>
    <s v="Jordanian"/>
    <x v="1"/>
    <x v="0"/>
    <n v="1"/>
    <x v="3"/>
  </r>
  <r>
    <s v="Event Participants unique"/>
    <s v="Event Participants unique"/>
    <s v="اشكال والوان للطباعة ثلاثية الأبعاد"/>
    <s v="Aqaba"/>
    <s v="NA"/>
    <s v="NA"/>
    <s v="Male"/>
    <s v="36 - 45"/>
    <s v="Jordanian"/>
    <x v="1"/>
    <x v="0"/>
    <n v="1"/>
    <x v="3"/>
  </r>
  <r>
    <s v="Event Participants unique"/>
    <s v="Event Participants unique"/>
    <s v="Tarmeem for  Organic bio fertiliser"/>
    <s v="Irbid"/>
    <s v="NA"/>
    <s v="NA"/>
    <s v="Female"/>
    <s v="25 - 30"/>
    <s v="Jordanian"/>
    <x v="1"/>
    <x v="0"/>
    <n v="1"/>
    <x v="3"/>
  </r>
  <r>
    <s v="Event Participants unique"/>
    <s v="Event Participants unique"/>
    <s v="Nawara Studio"/>
    <s v="Al-Karak"/>
    <s v="NA"/>
    <s v="NA"/>
    <s v="Female"/>
    <s v="30 - 35"/>
    <s v="Jordanian"/>
    <x v="1"/>
    <x v="0"/>
    <n v="1"/>
    <x v="3"/>
  </r>
  <r>
    <s v="Event Participants unique"/>
    <s v="Event Participants unique"/>
    <s v="Alefredo EdTech"/>
    <s v="Amman"/>
    <s v="NA"/>
    <s v="NA"/>
    <s v="Male"/>
    <s v="36 - 45"/>
    <s v="Jordanian"/>
    <x v="1"/>
    <x v="0"/>
    <n v="1"/>
    <x v="3"/>
  </r>
  <r>
    <s v="Event Participants unique"/>
    <s v="Event Participants unique"/>
    <s v="Dinan Spreads"/>
    <s v="Jerash"/>
    <s v="NA"/>
    <s v="NA"/>
    <s v="Female"/>
    <n v="46"/>
    <s v="Jordanian"/>
    <x v="1"/>
    <x v="0"/>
    <n v="1"/>
    <x v="3"/>
  </r>
  <r>
    <s v="Event Participants unique"/>
    <s v="Event Participants unique"/>
    <s v="Afaq Alriadah For Development and Training"/>
    <s v="Mafraq"/>
    <s v="NA"/>
    <s v="NA"/>
    <s v="Male"/>
    <s v="30 - 35"/>
    <s v="Jordanian"/>
    <x v="1"/>
    <x v="0"/>
    <n v="1"/>
    <x v="3"/>
  </r>
  <r>
    <s v="Event Participants unique"/>
    <s v="Event Participants unique"/>
    <s v="جيرس - ریحان JERES"/>
    <s v="Jerash"/>
    <s v="NA"/>
    <s v="NA"/>
    <s v="Female"/>
    <s v="36 - 45"/>
    <s v="Jordanian"/>
    <x v="1"/>
    <x v="0"/>
    <n v="1"/>
    <x v="3"/>
  </r>
  <r>
    <s v="Event Participants unique"/>
    <s v="Event Participants unique"/>
    <s v="خيوط بلادي"/>
    <s v="Irbid"/>
    <s v="NA"/>
    <s v="NA"/>
    <s v="Female"/>
    <s v="18 - 24"/>
    <s v="Jordanian"/>
    <x v="1"/>
    <x v="0"/>
    <n v="1"/>
    <x v="3"/>
  </r>
  <r>
    <s v="Event Participants unique"/>
    <s v="Event Participants unique"/>
    <s v="Hand made spot"/>
    <s v="Aqaba"/>
    <s v="NA"/>
    <s v="NA"/>
    <s v="Female"/>
    <s v="36 - 45"/>
    <s v="Jordanian"/>
    <x v="1"/>
    <x v="0"/>
    <n v="1"/>
    <x v="3"/>
  </r>
  <r>
    <s v="Event Participants unique"/>
    <s v="Event Participants unique"/>
    <s v="زوايا فنية"/>
    <s v="Irbid"/>
    <s v="NA"/>
    <s v="NA"/>
    <s v="Female"/>
    <n v="46"/>
    <s v="Jordanian"/>
    <x v="1"/>
    <x v="0"/>
    <n v="1"/>
    <x v="3"/>
  </r>
  <r>
    <s v="Event Participants unique"/>
    <s v="Event Participants unique"/>
    <s v="GIZ Jordan"/>
    <s v="Amman"/>
    <s v="NA"/>
    <s v="NA"/>
    <s v="Male"/>
    <s v="30 - 35"/>
    <s v="Jordanian"/>
    <x v="2"/>
    <x v="0"/>
    <n v="1"/>
    <x v="3"/>
  </r>
  <r>
    <s v="Event Participants unique"/>
    <s v="Event Participants unique"/>
    <s v="ICON-INSTITUTE GmbH &amp; Co. KG"/>
    <s v="Amman"/>
    <s v="NA"/>
    <s v="NA"/>
    <s v="Male"/>
    <n v="46"/>
    <s v="Jordanian"/>
    <x v="3"/>
    <x v="0"/>
    <n v="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</r>
  <r>
    <x v="1"/>
  </r>
  <r>
    <x v="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7">
  <r>
    <x v="0"/>
    <m/>
    <s v="Male"/>
    <s v="Female"/>
    <x v="0"/>
    <m/>
    <m/>
  </r>
  <r>
    <x v="1"/>
    <n v="1"/>
    <n v="0"/>
    <n v="1"/>
    <x v="1"/>
    <n v="0"/>
    <s v="Wholesale and retail trade; repair of motor vehicles and motorcycles"/>
  </r>
  <r>
    <x v="1"/>
    <n v="1"/>
    <n v="0"/>
    <n v="1"/>
    <x v="1"/>
    <n v="0"/>
    <s v="Accommodation and food service activities"/>
  </r>
  <r>
    <x v="1"/>
    <n v="1"/>
    <n v="1"/>
    <n v="0"/>
    <x v="2"/>
    <n v="2"/>
    <s v="Agriculture, forestry and fishing"/>
  </r>
  <r>
    <x v="1"/>
    <n v="1"/>
    <n v="1"/>
    <n v="0"/>
    <x v="2"/>
    <n v="1"/>
    <s v="Manufacturing"/>
  </r>
  <r>
    <x v="1"/>
    <n v="1"/>
    <n v="1"/>
    <n v="0"/>
    <x v="2"/>
    <n v="1"/>
    <s v="Accommodation and food service activities"/>
  </r>
  <r>
    <x v="1"/>
    <n v="1"/>
    <n v="0"/>
    <n v="1"/>
    <x v="1"/>
    <n v="4"/>
    <s v="Accommodation and food service activities"/>
  </r>
  <r>
    <x v="1"/>
    <n v="1"/>
    <n v="0"/>
    <n v="1"/>
    <x v="1"/>
    <n v="0"/>
    <s v="Manufacturing"/>
  </r>
  <r>
    <x v="1"/>
    <n v="1"/>
    <n v="0"/>
    <n v="1"/>
    <x v="1"/>
    <n v="5"/>
    <s v="Manufacturing"/>
  </r>
  <r>
    <x v="1"/>
    <n v="1"/>
    <n v="0"/>
    <n v="1"/>
    <x v="1"/>
    <n v="0"/>
    <s v="Accommodation and food service activities"/>
  </r>
  <r>
    <x v="1"/>
    <n v="1"/>
    <n v="0"/>
    <n v="1"/>
    <x v="1"/>
    <n v="0"/>
    <s v="Accommodation and food service activities"/>
  </r>
  <r>
    <x v="1"/>
    <n v="1"/>
    <n v="0"/>
    <n v="1"/>
    <x v="1"/>
    <n v="0"/>
    <s v="Accommodation and food service activities"/>
  </r>
  <r>
    <x v="1"/>
    <n v="1"/>
    <n v="0"/>
    <n v="1"/>
    <x v="1"/>
    <n v="0"/>
    <s v="Accommodation and food service activities"/>
  </r>
  <r>
    <x v="1"/>
    <n v="1"/>
    <n v="1"/>
    <n v="0"/>
    <x v="2"/>
    <n v="0"/>
    <s v="Manufacturing"/>
  </r>
  <r>
    <x v="1"/>
    <n v="1"/>
    <n v="1"/>
    <n v="0"/>
    <x v="2"/>
    <n v="0"/>
    <s v="Manufacturing"/>
  </r>
  <r>
    <x v="1"/>
    <n v="1"/>
    <n v="0"/>
    <n v="1"/>
    <x v="1"/>
    <n v="0"/>
    <s v="Accommodation and food service activities"/>
  </r>
  <r>
    <x v="1"/>
    <n v="1"/>
    <n v="1"/>
    <n v="0"/>
    <x v="2"/>
    <n v="0"/>
    <s v="Manufacturing"/>
  </r>
  <r>
    <x v="1"/>
    <n v="1"/>
    <n v="0"/>
    <n v="1"/>
    <x v="1"/>
    <n v="0"/>
    <s v="Accommodation and food service activities"/>
  </r>
  <r>
    <x v="1"/>
    <n v="1"/>
    <n v="0"/>
    <n v="1"/>
    <x v="1"/>
    <n v="0"/>
    <s v="Information and communication"/>
  </r>
  <r>
    <x v="2"/>
    <n v="1"/>
    <n v="0"/>
    <n v="1"/>
    <x v="1"/>
    <n v="3"/>
    <s v="Water supply, Sewerage, Waste Management and Remediation Activities"/>
  </r>
  <r>
    <x v="2"/>
    <n v="1"/>
    <n v="0"/>
    <n v="1"/>
    <x v="1"/>
    <n v="0"/>
    <s v="Manufacturing"/>
  </r>
  <r>
    <x v="2"/>
    <n v="1"/>
    <n v="0"/>
    <n v="1"/>
    <x v="1"/>
    <n v="0"/>
    <s v="Manufacturing"/>
  </r>
  <r>
    <x v="2"/>
    <n v="1"/>
    <n v="0"/>
    <n v="1"/>
    <x v="1"/>
    <n v="3"/>
    <s v="Information and communication"/>
  </r>
  <r>
    <x v="2"/>
    <n v="1"/>
    <n v="0"/>
    <n v="1"/>
    <x v="1"/>
    <n v="9"/>
    <s v="Financial and insurance activities"/>
  </r>
  <r>
    <x v="2"/>
    <n v="1"/>
    <n v="1"/>
    <n v="0"/>
    <x v="2"/>
    <n v="0"/>
    <s v="Information and communication"/>
  </r>
  <r>
    <x v="2"/>
    <n v="1"/>
    <n v="0"/>
    <n v="1"/>
    <x v="1"/>
    <n v="0"/>
    <s v="Agriculture, forestry and fishing"/>
  </r>
  <r>
    <x v="2"/>
    <n v="1"/>
    <n v="0"/>
    <n v="1"/>
    <x v="1"/>
    <n v="1"/>
    <s v="Human health and social work activities"/>
  </r>
  <r>
    <x v="2"/>
    <n v="1"/>
    <n v="0"/>
    <n v="1"/>
    <x v="1"/>
    <n v="11"/>
    <s v="Water supply; sewerage, waste management and remediation activities"/>
  </r>
  <r>
    <x v="2"/>
    <n v="1"/>
    <n v="1"/>
    <n v="0"/>
    <x v="2"/>
    <n v="0"/>
    <n v="0"/>
  </r>
  <r>
    <x v="2"/>
    <n v="1"/>
    <n v="1"/>
    <n v="0"/>
    <x v="2"/>
    <n v="0"/>
    <s v="Administrative and support service activities"/>
  </r>
  <r>
    <x v="2"/>
    <n v="1"/>
    <n v="0"/>
    <n v="1"/>
    <x v="1"/>
    <n v="0"/>
    <s v="Education"/>
  </r>
  <r>
    <x v="2"/>
    <n v="1"/>
    <n v="1"/>
    <n v="0"/>
    <x v="2"/>
    <n v="0"/>
    <s v="Information and communication"/>
  </r>
  <r>
    <x v="2"/>
    <n v="1"/>
    <n v="1"/>
    <n v="0"/>
    <x v="2"/>
    <n v="0"/>
    <s v="Information and communication"/>
  </r>
  <r>
    <x v="2"/>
    <n v="1"/>
    <n v="1"/>
    <n v="0"/>
    <x v="2"/>
    <n v="0"/>
    <s v="Information and communication"/>
  </r>
  <r>
    <x v="2"/>
    <n v="1"/>
    <n v="1"/>
    <n v="0"/>
    <x v="2"/>
    <n v="0"/>
    <s v="Human health and social work activities"/>
  </r>
  <r>
    <x v="2"/>
    <n v="1"/>
    <n v="1"/>
    <n v="0"/>
    <x v="2"/>
    <n v="9"/>
    <s v="Information and communication"/>
  </r>
  <r>
    <x v="2"/>
    <n v="1"/>
    <n v="1"/>
    <n v="0"/>
    <x v="2"/>
    <n v="0"/>
    <s v="Professional, scientific and technical activities"/>
  </r>
  <r>
    <x v="2"/>
    <n v="1"/>
    <n v="1"/>
    <n v="0"/>
    <x v="2"/>
    <n v="0"/>
    <s v="Information and communication"/>
  </r>
  <r>
    <x v="2"/>
    <n v="1"/>
    <n v="1"/>
    <n v="0"/>
    <x v="2"/>
    <n v="0"/>
    <s v="Information and communication"/>
  </r>
  <r>
    <x v="2"/>
    <n v="1"/>
    <n v="1"/>
    <n v="0"/>
    <x v="2"/>
    <n v="0"/>
    <s v="Arts, entertainment and recreation"/>
  </r>
  <r>
    <x v="2"/>
    <n v="1"/>
    <n v="1"/>
    <n v="0"/>
    <x v="2"/>
    <n v="0"/>
    <s v="Professional, scientific and technical activities"/>
  </r>
  <r>
    <x v="2"/>
    <n v="1"/>
    <n v="0"/>
    <n v="1"/>
    <x v="1"/>
    <n v="0"/>
    <s v="Human health and social work activities"/>
  </r>
  <r>
    <x v="2"/>
    <n v="1"/>
    <n v="0"/>
    <n v="1"/>
    <x v="1"/>
    <n v="0"/>
    <s v="Education"/>
  </r>
  <r>
    <x v="2"/>
    <n v="1"/>
    <n v="1"/>
    <n v="0"/>
    <x v="2"/>
    <n v="0"/>
    <s v="Human health and social work activities"/>
  </r>
  <r>
    <x v="2"/>
    <n v="1"/>
    <n v="1"/>
    <n v="0"/>
    <x v="2"/>
    <n v="0"/>
    <s v="Information and communication"/>
  </r>
  <r>
    <x v="2"/>
    <n v="1"/>
    <n v="1"/>
    <n v="0"/>
    <x v="2"/>
    <n v="0"/>
    <s v="Professional, scientific and technical activities"/>
  </r>
  <r>
    <x v="2"/>
    <n v="1"/>
    <n v="1"/>
    <n v="0"/>
    <x v="2"/>
    <n v="0"/>
    <s v="Arts, entertainment and recreation"/>
  </r>
  <r>
    <x v="2"/>
    <n v="1"/>
    <n v="0"/>
    <n v="1"/>
    <x v="1"/>
    <n v="0"/>
    <s v="Arts, entertainment and recreation"/>
  </r>
  <r>
    <x v="2"/>
    <n v="1"/>
    <n v="1"/>
    <n v="0"/>
    <x v="2"/>
    <n v="0"/>
    <s v="Financial and insurance activities"/>
  </r>
  <r>
    <x v="2"/>
    <n v="1"/>
    <n v="1"/>
    <n v="0"/>
    <x v="2"/>
    <n v="0"/>
    <s v="Education"/>
  </r>
  <r>
    <x v="2"/>
    <n v="1"/>
    <n v="0"/>
    <n v="1"/>
    <x v="1"/>
    <n v="0"/>
    <s v="Arts, entertainment and recreation"/>
  </r>
  <r>
    <x v="2"/>
    <n v="1"/>
    <n v="1"/>
    <n v="0"/>
    <x v="2"/>
    <n v="0"/>
    <s v="Wholesale and retail trade; repair of motor vehicles and motorcycles"/>
  </r>
  <r>
    <x v="2"/>
    <n v="1"/>
    <n v="0"/>
    <n v="1"/>
    <x v="1"/>
    <n v="0"/>
    <s v="Manufacturing"/>
  </r>
  <r>
    <x v="2"/>
    <n v="1"/>
    <n v="0"/>
    <n v="1"/>
    <x v="1"/>
    <n v="0"/>
    <s v="Transportation and storage"/>
  </r>
  <r>
    <x v="2"/>
    <n v="1"/>
    <n v="0"/>
    <n v="1"/>
    <x v="1"/>
    <n v="0"/>
    <s v="Education"/>
  </r>
  <r>
    <x v="2"/>
    <n v="1"/>
    <n v="0"/>
    <n v="1"/>
    <x v="1"/>
    <n v="0"/>
    <s v="Administrative and support service activities"/>
  </r>
  <r>
    <x v="2"/>
    <n v="1"/>
    <n v="0"/>
    <n v="1"/>
    <x v="1"/>
    <n v="0"/>
    <s v="Manufacturing"/>
  </r>
  <r>
    <x v="2"/>
    <n v="1"/>
    <n v="0"/>
    <n v="1"/>
    <x v="1"/>
    <n v="0"/>
    <s v="Manufacturing"/>
  </r>
  <r>
    <x v="2"/>
    <n v="1"/>
    <n v="0"/>
    <n v="1"/>
    <x v="1"/>
    <n v="0"/>
    <s v="Manufacturing"/>
  </r>
  <r>
    <x v="2"/>
    <n v="1"/>
    <n v="0"/>
    <n v="1"/>
    <x v="1"/>
    <n v="0"/>
    <s v="Agriculture, forestry and fishing"/>
  </r>
  <r>
    <x v="2"/>
    <n v="1"/>
    <n v="1"/>
    <n v="0"/>
    <x v="2"/>
    <n v="0"/>
    <s v="Manufacturing"/>
  </r>
  <r>
    <x v="2"/>
    <n v="1"/>
    <n v="0"/>
    <n v="1"/>
    <x v="1"/>
    <n v="0"/>
    <s v="Manufacturing"/>
  </r>
  <r>
    <x v="2"/>
    <n v="1"/>
    <n v="0"/>
    <n v="1"/>
    <x v="1"/>
    <n v="0"/>
    <s v="Manufacturing"/>
  </r>
  <r>
    <x v="2"/>
    <n v="1"/>
    <n v="1"/>
    <n v="0"/>
    <x v="2"/>
    <n v="0"/>
    <s v="Manufacturing"/>
  </r>
  <r>
    <x v="2"/>
    <n v="1"/>
    <n v="0"/>
    <n v="1"/>
    <x v="1"/>
    <n v="0"/>
    <s v="Manufacturing"/>
  </r>
  <r>
    <x v="2"/>
    <n v="1"/>
    <n v="0"/>
    <n v="1"/>
    <x v="1"/>
    <n v="0"/>
    <s v="Water supply; sewerage, waste management and remediation activities"/>
  </r>
  <r>
    <x v="2"/>
    <n v="1"/>
    <n v="1"/>
    <n v="0"/>
    <x v="2"/>
    <n v="0"/>
    <s v="Accommodation and food service activities"/>
  </r>
  <r>
    <x v="2"/>
    <n v="1"/>
    <n v="1"/>
    <n v="0"/>
    <x v="2"/>
    <n v="0"/>
    <s v="Agriculture, forestry and fishing"/>
  </r>
  <r>
    <x v="2"/>
    <n v="1"/>
    <n v="0"/>
    <n v="1"/>
    <x v="1"/>
    <n v="0"/>
    <s v="Arts, entertainment and recreation"/>
  </r>
  <r>
    <x v="2"/>
    <n v="1"/>
    <n v="1"/>
    <n v="0"/>
    <x v="2"/>
    <n v="0"/>
    <s v="Arts, entertainment and recreation"/>
  </r>
  <r>
    <x v="2"/>
    <n v="1"/>
    <n v="1"/>
    <n v="0"/>
    <x v="2"/>
    <n v="0"/>
    <s v="Manufacturing"/>
  </r>
  <r>
    <x v="2"/>
    <n v="1"/>
    <n v="1"/>
    <n v="0"/>
    <x v="2"/>
    <n v="0"/>
    <s v="Administrative and support service activities"/>
  </r>
  <r>
    <x v="2"/>
    <n v="1"/>
    <n v="1"/>
    <n v="0"/>
    <x v="2"/>
    <n v="0"/>
    <s v="Human health and social work activities"/>
  </r>
  <r>
    <x v="2"/>
    <n v="1"/>
    <n v="1"/>
    <n v="0"/>
    <x v="2"/>
    <n v="0"/>
    <s v="Manufacturing"/>
  </r>
  <r>
    <x v="2"/>
    <n v="1"/>
    <n v="1"/>
    <n v="0"/>
    <x v="2"/>
    <n v="0"/>
    <s v="Financial and insurance activities"/>
  </r>
  <r>
    <x v="2"/>
    <n v="1"/>
    <n v="1"/>
    <n v="0"/>
    <x v="2"/>
    <n v="0"/>
    <s v="Arts, entertainment and recreation"/>
  </r>
  <r>
    <x v="2"/>
    <n v="1"/>
    <n v="1"/>
    <n v="0"/>
    <x v="2"/>
    <n v="0"/>
    <s v="Arts, entertainment and recreation"/>
  </r>
  <r>
    <x v="2"/>
    <n v="1"/>
    <n v="1"/>
    <n v="0"/>
    <x v="2"/>
    <n v="0"/>
    <s v="Professional, scientific and technical activities"/>
  </r>
  <r>
    <x v="2"/>
    <n v="1"/>
    <n v="0"/>
    <n v="1"/>
    <x v="1"/>
    <n v="0"/>
    <s v="Education"/>
  </r>
  <r>
    <x v="2"/>
    <n v="1"/>
    <n v="1"/>
    <n v="0"/>
    <x v="2"/>
    <n v="0"/>
    <s v="Information and communication"/>
  </r>
  <r>
    <x v="2"/>
    <n v="1"/>
    <n v="1"/>
    <n v="0"/>
    <x v="2"/>
    <n v="0"/>
    <s v="Information and communication"/>
  </r>
  <r>
    <x v="2"/>
    <n v="1"/>
    <n v="1"/>
    <n v="0"/>
    <x v="2"/>
    <n v="0"/>
    <s v="Real estate activities"/>
  </r>
  <r>
    <x v="2"/>
    <n v="1"/>
    <n v="1"/>
    <n v="0"/>
    <x v="2"/>
    <n v="0"/>
    <s v="Agriculture, forestry and fishing"/>
  </r>
  <r>
    <x v="2"/>
    <n v="1"/>
    <n v="1"/>
    <n v="0"/>
    <x v="2"/>
    <n v="0"/>
    <s v="Manufacturing"/>
  </r>
  <r>
    <x v="2"/>
    <n v="1"/>
    <n v="0"/>
    <n v="1"/>
    <x v="1"/>
    <n v="0"/>
    <s v="Financial and insurance activities"/>
  </r>
  <r>
    <x v="2"/>
    <n v="1"/>
    <n v="1"/>
    <n v="0"/>
    <x v="2"/>
    <n v="0"/>
    <s v="Manufacturing"/>
  </r>
  <r>
    <x v="2"/>
    <n v="1"/>
    <n v="1"/>
    <n v="0"/>
    <x v="2"/>
    <n v="0"/>
    <s v="Wholesale and retail trade; repair of motor vehicles and motorcycles"/>
  </r>
  <r>
    <x v="2"/>
    <n v="1"/>
    <n v="0"/>
    <n v="1"/>
    <x v="1"/>
    <n v="0"/>
    <s v="Education"/>
  </r>
  <r>
    <x v="2"/>
    <n v="1"/>
    <n v="0"/>
    <n v="1"/>
    <x v="1"/>
    <n v="0"/>
    <s v="Agriculture, forestry and fishing"/>
  </r>
  <r>
    <x v="2"/>
    <n v="1"/>
    <n v="0"/>
    <n v="1"/>
    <x v="1"/>
    <n v="0"/>
    <s v="Professional, scientific and technical activities"/>
  </r>
  <r>
    <x v="2"/>
    <n v="1"/>
    <n v="0"/>
    <n v="1"/>
    <x v="1"/>
    <n v="0"/>
    <s v="Arts, entertainment and recreation"/>
  </r>
  <r>
    <x v="2"/>
    <n v="1"/>
    <n v="1"/>
    <n v="0"/>
    <x v="2"/>
    <n v="0"/>
    <s v="Manufacturing"/>
  </r>
  <r>
    <x v="2"/>
    <n v="1"/>
    <n v="1"/>
    <n v="0"/>
    <x v="2"/>
    <n v="0"/>
    <s v="Professional, scientific and technical activities"/>
  </r>
  <r>
    <x v="2"/>
    <n v="1"/>
    <n v="0"/>
    <n v="1"/>
    <x v="1"/>
    <n v="0"/>
    <s v="Education"/>
  </r>
  <r>
    <x v="2"/>
    <n v="1"/>
    <n v="1"/>
    <n v="0"/>
    <x v="2"/>
    <n v="0"/>
    <s v="Wholesale and retail trade; repair of motor vehicles and motorcycles"/>
  </r>
  <r>
    <x v="2"/>
    <n v="1"/>
    <n v="1"/>
    <n v="0"/>
    <x v="2"/>
    <n v="0"/>
    <s v="Manufacturing"/>
  </r>
  <r>
    <x v="2"/>
    <n v="1"/>
    <n v="0"/>
    <n v="1"/>
    <x v="1"/>
    <n v="0"/>
    <s v="Manufacturing"/>
  </r>
  <r>
    <x v="2"/>
    <n v="1"/>
    <n v="1"/>
    <n v="0"/>
    <x v="2"/>
    <n v="0"/>
    <s v="Agriculture, forestry and fishing"/>
  </r>
  <r>
    <x v="2"/>
    <n v="1"/>
    <n v="1"/>
    <n v="0"/>
    <x v="2"/>
    <n v="0"/>
    <s v="Construction"/>
  </r>
  <r>
    <x v="3"/>
    <n v="1"/>
    <n v="1"/>
    <n v="0"/>
    <x v="2"/>
    <n v="3"/>
    <s v="Manufacturing"/>
  </r>
  <r>
    <x v="3"/>
    <n v="1"/>
    <n v="1"/>
    <n v="0"/>
    <x v="2"/>
    <n v="11"/>
    <s v="Arts, entertainment and recreation"/>
  </r>
  <r>
    <x v="3"/>
    <n v="1"/>
    <n v="0"/>
    <n v="1"/>
    <x v="1"/>
    <n v="0"/>
    <s v="Accommodation and food service activities"/>
  </r>
  <r>
    <x v="3"/>
    <n v="1"/>
    <n v="0"/>
    <n v="1"/>
    <x v="1"/>
    <n v="0"/>
    <s v="Information and communication"/>
  </r>
  <r>
    <x v="3"/>
    <n v="1"/>
    <n v="1"/>
    <n v="0"/>
    <x v="2"/>
    <n v="0"/>
    <s v="Information and communication"/>
  </r>
  <r>
    <x v="3"/>
    <n v="1"/>
    <n v="0"/>
    <n v="1"/>
    <x v="1"/>
    <n v="3"/>
    <s v="Human health and social work activities"/>
  </r>
  <r>
    <x v="3"/>
    <n v="1"/>
    <n v="0"/>
    <n v="1"/>
    <x v="1"/>
    <n v="0"/>
    <s v="Professional, scientific and technical activities"/>
  </r>
  <r>
    <x v="3"/>
    <n v="1"/>
    <n v="0"/>
    <n v="1"/>
    <x v="1"/>
    <n v="0"/>
    <s v="Manufacturing"/>
  </r>
  <r>
    <x v="3"/>
    <n v="1"/>
    <n v="0"/>
    <n v="1"/>
    <x v="1"/>
    <n v="0"/>
    <s v="Manufacturing"/>
  </r>
  <r>
    <x v="3"/>
    <n v="1"/>
    <n v="1"/>
    <n v="0"/>
    <x v="2"/>
    <n v="2"/>
    <s v="Information and communication"/>
  </r>
  <r>
    <x v="3"/>
    <n v="1"/>
    <n v="1"/>
    <n v="0"/>
    <x v="2"/>
    <n v="0"/>
    <s v="Administrative and support service activities"/>
  </r>
  <r>
    <x v="3"/>
    <n v="1"/>
    <n v="1"/>
    <n v="0"/>
    <x v="2"/>
    <n v="1"/>
    <s v="Water supply; sewerage, waste management and remediation activities"/>
  </r>
  <r>
    <x v="3"/>
    <n v="1"/>
    <n v="1"/>
    <n v="0"/>
    <x v="2"/>
    <n v="0"/>
    <s v="Accommodation and food service activities"/>
  </r>
  <r>
    <x v="3"/>
    <n v="1"/>
    <n v="1"/>
    <n v="0"/>
    <x v="2"/>
    <n v="1"/>
    <s v="Arts, entertainment and recreation"/>
  </r>
  <r>
    <x v="3"/>
    <n v="1"/>
    <n v="0"/>
    <n v="1"/>
    <x v="1"/>
    <n v="0"/>
    <s v="Information and communication"/>
  </r>
  <r>
    <x v="3"/>
    <n v="1"/>
    <n v="0"/>
    <n v="1"/>
    <x v="1"/>
    <n v="6"/>
    <s v="Real estate activities"/>
  </r>
  <r>
    <x v="3"/>
    <n v="1"/>
    <n v="1"/>
    <n v="0"/>
    <x v="2"/>
    <n v="0"/>
    <s v="Arts, entertainment and recreation"/>
  </r>
  <r>
    <x v="3"/>
    <n v="1"/>
    <n v="0"/>
    <n v="1"/>
    <x v="1"/>
    <n v="1"/>
    <s v="Agriculture, forestry and fishing"/>
  </r>
  <r>
    <x v="3"/>
    <n v="1"/>
    <n v="0"/>
    <n v="1"/>
    <x v="1"/>
    <n v="0"/>
    <s v="Human health and social work activities"/>
  </r>
  <r>
    <x v="3"/>
    <n v="1"/>
    <n v="0"/>
    <n v="1"/>
    <x v="1"/>
    <n v="0"/>
    <s v="Accommodation and food service activities"/>
  </r>
  <r>
    <x v="3"/>
    <n v="1"/>
    <n v="0"/>
    <n v="1"/>
    <x v="1"/>
    <n v="0"/>
    <s v="Human health and social work activities"/>
  </r>
  <r>
    <x v="3"/>
    <n v="1"/>
    <n v="0"/>
    <n v="1"/>
    <x v="1"/>
    <n v="0"/>
    <s v="Information and communication"/>
  </r>
  <r>
    <x v="3"/>
    <n v="1"/>
    <n v="1"/>
    <n v="0"/>
    <x v="2"/>
    <n v="0"/>
    <s v="Education"/>
  </r>
  <r>
    <x v="3"/>
    <n v="1"/>
    <n v="1"/>
    <n v="0"/>
    <x v="2"/>
    <n v="5"/>
    <s v="Administrative and support service activities"/>
  </r>
  <r>
    <x v="3"/>
    <n v="1"/>
    <n v="0"/>
    <n v="1"/>
    <x v="1"/>
    <n v="0"/>
    <s v="Agriculture, forestry and fishing"/>
  </r>
  <r>
    <x v="3"/>
    <n v="1"/>
    <n v="0"/>
    <n v="1"/>
    <x v="1"/>
    <n v="0"/>
    <s v="Manufacturing"/>
  </r>
  <r>
    <x v="3"/>
    <n v="1"/>
    <n v="0"/>
    <n v="1"/>
    <x v="1"/>
    <n v="0"/>
    <s v="Human health and social work activities"/>
  </r>
  <r>
    <x v="3"/>
    <n v="1"/>
    <n v="0"/>
    <n v="1"/>
    <x v="1"/>
    <n v="1"/>
    <s v="Manufacturing"/>
  </r>
  <r>
    <x v="3"/>
    <n v="1"/>
    <n v="0"/>
    <n v="1"/>
    <x v="1"/>
    <n v="0"/>
    <n v="0"/>
  </r>
  <r>
    <x v="3"/>
    <n v="1"/>
    <n v="1"/>
    <n v="0"/>
    <x v="2"/>
    <n v="0"/>
    <s v="Manufacturing"/>
  </r>
  <r>
    <x v="3"/>
    <n v="1"/>
    <n v="0"/>
    <n v="1"/>
    <x v="1"/>
    <n v="0"/>
    <s v="Manufacturing"/>
  </r>
  <r>
    <x v="3"/>
    <n v="1"/>
    <n v="0"/>
    <n v="1"/>
    <x v="1"/>
    <n v="0"/>
    <s v="Arts, entertainment and recreation"/>
  </r>
  <r>
    <x v="3"/>
    <n v="1"/>
    <n v="1"/>
    <n v="0"/>
    <x v="2"/>
    <n v="3"/>
    <s v="Professional, scientific and technical activities"/>
  </r>
  <r>
    <x v="3"/>
    <n v="1"/>
    <n v="0"/>
    <n v="1"/>
    <x v="1"/>
    <n v="1"/>
    <s v="Construction"/>
  </r>
  <r>
    <x v="3"/>
    <n v="1"/>
    <n v="0"/>
    <n v="1"/>
    <x v="1"/>
    <n v="5"/>
    <s v="Financial and insurance activities"/>
  </r>
  <r>
    <x v="3"/>
    <n v="1"/>
    <n v="1"/>
    <n v="0"/>
    <x v="2"/>
    <n v="2"/>
    <s v="Accommodation and food service activities"/>
  </r>
  <r>
    <x v="3"/>
    <n v="1"/>
    <n v="0"/>
    <n v="1"/>
    <x v="1"/>
    <n v="0"/>
    <s v="Manufacturing"/>
  </r>
  <r>
    <x v="3"/>
    <n v="1"/>
    <n v="0"/>
    <n v="1"/>
    <x v="1"/>
    <n v="0"/>
    <s v="Accommodation and food service activities"/>
  </r>
  <r>
    <x v="3"/>
    <n v="1"/>
    <n v="1"/>
    <n v="0"/>
    <x v="2"/>
    <n v="0"/>
    <s v="Professional, scientific and technical activities"/>
  </r>
  <r>
    <x v="3"/>
    <n v="1"/>
    <n v="0"/>
    <n v="1"/>
    <x v="1"/>
    <n v="0"/>
    <s v="Human health and social work activities"/>
  </r>
  <r>
    <x v="3"/>
    <n v="1"/>
    <n v="0"/>
    <n v="1"/>
    <x v="1"/>
    <n v="1"/>
    <s v="Manufacturing"/>
  </r>
  <r>
    <x v="3"/>
    <n v="1"/>
    <n v="1"/>
    <n v="0"/>
    <x v="2"/>
    <n v="0"/>
    <s v="Information and communication"/>
  </r>
  <r>
    <x v="3"/>
    <n v="1"/>
    <n v="0"/>
    <n v="1"/>
    <x v="1"/>
    <n v="0"/>
    <s v="Professional, scientific and technical activities"/>
  </r>
  <r>
    <x v="3"/>
    <n v="1"/>
    <n v="0"/>
    <n v="1"/>
    <x v="1"/>
    <n v="0"/>
    <s v="Manufacturing"/>
  </r>
  <r>
    <x v="3"/>
    <n v="1"/>
    <n v="0"/>
    <n v="1"/>
    <x v="1"/>
    <n v="0"/>
    <s v="Administrative and support service activities"/>
  </r>
  <r>
    <x v="3"/>
    <n v="1"/>
    <n v="1"/>
    <n v="0"/>
    <x v="2"/>
    <n v="3"/>
    <s v="Administrative and support service activities"/>
  </r>
  <r>
    <x v="3"/>
    <n v="1"/>
    <n v="0"/>
    <n v="1"/>
    <x v="1"/>
    <n v="0"/>
    <s v="Manufacturing"/>
  </r>
  <r>
    <x v="3"/>
    <n v="1"/>
    <n v="0"/>
    <n v="1"/>
    <x v="1"/>
    <n v="2"/>
    <s v="Manufacturing"/>
  </r>
  <r>
    <x v="3"/>
    <n v="1"/>
    <n v="0"/>
    <n v="1"/>
    <x v="1"/>
    <n v="0"/>
    <s v="Arts, entertainment and recreation"/>
  </r>
  <r>
    <x v="3"/>
    <n v="1"/>
    <n v="1"/>
    <n v="0"/>
    <x v="2"/>
    <n v="1"/>
    <s v="Agriculture, forestry and fishing"/>
  </r>
  <r>
    <x v="3"/>
    <n v="1"/>
    <n v="0"/>
    <n v="1"/>
    <x v="1"/>
    <n v="0"/>
    <s v="Accommodation and food service activities"/>
  </r>
  <r>
    <x v="3"/>
    <n v="1"/>
    <n v="1"/>
    <n v="0"/>
    <x v="2"/>
    <n v="0"/>
    <s v="Agriculture, forestry and fishing"/>
  </r>
  <r>
    <x v="3"/>
    <n v="1"/>
    <n v="0"/>
    <n v="1"/>
    <x v="1"/>
    <n v="0"/>
    <s v="Manufacturing"/>
  </r>
  <r>
    <x v="3"/>
    <n v="1"/>
    <n v="0"/>
    <n v="1"/>
    <x v="1"/>
    <n v="0"/>
    <s v="Information and communication"/>
  </r>
  <r>
    <x v="3"/>
    <n v="1"/>
    <n v="1"/>
    <n v="0"/>
    <x v="2"/>
    <n v="4"/>
    <s v="Agriculture, forestry and fishing"/>
  </r>
  <r>
    <x v="3"/>
    <n v="1"/>
    <n v="0"/>
    <n v="1"/>
    <x v="1"/>
    <n v="0"/>
    <s v="Professional, scientific and technical activities"/>
  </r>
  <r>
    <x v="3"/>
    <n v="1"/>
    <n v="0"/>
    <n v="1"/>
    <x v="1"/>
    <n v="0"/>
    <s v="Professional, scientific and technical activities"/>
  </r>
  <r>
    <x v="3"/>
    <n v="1"/>
    <n v="0"/>
    <n v="1"/>
    <x v="1"/>
    <n v="0"/>
    <s v="Human health and social work activities"/>
  </r>
  <r>
    <x v="3"/>
    <n v="1"/>
    <n v="1"/>
    <n v="0"/>
    <x v="2"/>
    <n v="0"/>
    <s v="Accommodation and food service activities"/>
  </r>
  <r>
    <x v="3"/>
    <n v="1"/>
    <n v="0"/>
    <n v="1"/>
    <x v="1"/>
    <n v="1"/>
    <s v="Manufacturing"/>
  </r>
  <r>
    <x v="3"/>
    <n v="1"/>
    <n v="0"/>
    <n v="1"/>
    <x v="1"/>
    <n v="0"/>
    <s v="Arts, entertainment and recreation"/>
  </r>
  <r>
    <x v="3"/>
    <n v="1"/>
    <n v="0"/>
    <n v="1"/>
    <x v="1"/>
    <n v="0"/>
    <s v="Professional, scientific and technical activities"/>
  </r>
  <r>
    <x v="3"/>
    <n v="1"/>
    <n v="0"/>
    <n v="1"/>
    <x v="1"/>
    <n v="0"/>
    <s v="Professional, scientific and technical activities"/>
  </r>
  <r>
    <x v="3"/>
    <n v="1"/>
    <n v="0"/>
    <n v="1"/>
    <x v="1"/>
    <n v="0"/>
    <s v="Professional, scientific and technical activities"/>
  </r>
  <r>
    <x v="3"/>
    <n v="1"/>
    <n v="0"/>
    <n v="1"/>
    <x v="1"/>
    <n v="0"/>
    <s v="Professional, scientific and technical activities"/>
  </r>
  <r>
    <x v="3"/>
    <n v="1"/>
    <n v="0"/>
    <n v="1"/>
    <x v="1"/>
    <n v="0"/>
    <s v="Human health and social work activities"/>
  </r>
  <r>
    <x v="3"/>
    <n v="1"/>
    <n v="1"/>
    <n v="0"/>
    <x v="2"/>
    <n v="0"/>
    <s v="Professional, scientific and technical activities"/>
  </r>
  <r>
    <x v="3"/>
    <n v="1"/>
    <n v="1"/>
    <n v="0"/>
    <x v="2"/>
    <n v="0"/>
    <s v="Manufacturing"/>
  </r>
  <r>
    <x v="3"/>
    <n v="1"/>
    <n v="1"/>
    <n v="0"/>
    <x v="2"/>
    <n v="1"/>
    <s v="Financial and insurance activities"/>
  </r>
  <r>
    <x v="3"/>
    <n v="1"/>
    <n v="0"/>
    <n v="1"/>
    <x v="1"/>
    <n v="1"/>
    <s v="Administrative and support service activities"/>
  </r>
  <r>
    <x v="3"/>
    <n v="1"/>
    <n v="1"/>
    <n v="0"/>
    <x v="2"/>
    <n v="0"/>
    <s v="Administrative and support service activities"/>
  </r>
  <r>
    <x v="3"/>
    <n v="1"/>
    <n v="0"/>
    <n v="1"/>
    <x v="1"/>
    <n v="0"/>
    <s v="Arts, entertainment and recreation"/>
  </r>
  <r>
    <x v="3"/>
    <n v="1"/>
    <n v="0"/>
    <n v="1"/>
    <x v="1"/>
    <n v="0"/>
    <s v="Water supply; sewerage, waste management and remediation activities"/>
  </r>
  <r>
    <x v="3"/>
    <n v="1"/>
    <n v="1"/>
    <n v="0"/>
    <x v="2"/>
    <n v="0"/>
    <s v="Arts, entertainment and recreation"/>
  </r>
  <r>
    <x v="3"/>
    <n v="1"/>
    <n v="1"/>
    <n v="0"/>
    <x v="2"/>
    <n v="0"/>
    <s v="Arts, entertainment and recreation"/>
  </r>
  <r>
    <x v="3"/>
    <n v="1"/>
    <n v="0"/>
    <n v="1"/>
    <x v="1"/>
    <n v="0"/>
    <s v="Arts, entertainment and recreation"/>
  </r>
  <r>
    <x v="3"/>
    <n v="1"/>
    <n v="1"/>
    <n v="0"/>
    <x v="2"/>
    <n v="1"/>
    <s v="Manufacturing"/>
  </r>
  <r>
    <x v="3"/>
    <n v="1"/>
    <n v="0"/>
    <n v="1"/>
    <x v="1"/>
    <n v="0"/>
    <s v="Manufacturing"/>
  </r>
  <r>
    <x v="3"/>
    <n v="1"/>
    <n v="0"/>
    <n v="1"/>
    <x v="1"/>
    <n v="0"/>
    <s v="Manufacturing"/>
  </r>
  <r>
    <x v="3"/>
    <n v="1"/>
    <n v="0"/>
    <n v="1"/>
    <x v="1"/>
    <n v="0"/>
    <s v="Manufacturing"/>
  </r>
  <r>
    <x v="3"/>
    <n v="1"/>
    <n v="1"/>
    <n v="0"/>
    <x v="2"/>
    <n v="2"/>
    <s v="Real estate activities"/>
  </r>
  <r>
    <x v="3"/>
    <n v="1"/>
    <n v="1"/>
    <n v="0"/>
    <x v="2"/>
    <n v="0"/>
    <s v="Professional, scientific and technical activities"/>
  </r>
  <r>
    <x v="3"/>
    <n v="1"/>
    <n v="0"/>
    <n v="1"/>
    <x v="1"/>
    <n v="0"/>
    <s v="Arts, entertainment and recreation"/>
  </r>
  <r>
    <x v="3"/>
    <n v="1"/>
    <n v="1"/>
    <n v="0"/>
    <x v="2"/>
    <n v="1"/>
    <s v="Wholesale and retail trade; repair of motor vehicles and motorcycles"/>
  </r>
  <r>
    <x v="3"/>
    <n v="1"/>
    <n v="0"/>
    <n v="1"/>
    <x v="1"/>
    <n v="0"/>
    <s v="Manufacturing"/>
  </r>
  <r>
    <x v="3"/>
    <n v="1"/>
    <n v="0"/>
    <n v="1"/>
    <x v="1"/>
    <n v="0"/>
    <s v="Information and communication"/>
  </r>
  <r>
    <x v="3"/>
    <n v="1"/>
    <n v="1"/>
    <n v="0"/>
    <x v="2"/>
    <n v="0"/>
    <s v="Administrative and support service activities"/>
  </r>
  <r>
    <x v="3"/>
    <n v="1"/>
    <n v="1"/>
    <n v="0"/>
    <x v="2"/>
    <n v="3"/>
    <s v="Accommodation and food service activities"/>
  </r>
  <r>
    <x v="3"/>
    <n v="1"/>
    <n v="1"/>
    <n v="0"/>
    <x v="2"/>
    <n v="5"/>
    <s v="Arts, entertainment and recreation"/>
  </r>
  <r>
    <x v="3"/>
    <n v="1"/>
    <n v="0"/>
    <n v="1"/>
    <x v="1"/>
    <n v="0"/>
    <s v="Arts, entertainment and recreation"/>
  </r>
  <r>
    <x v="3"/>
    <n v="1"/>
    <n v="1"/>
    <n v="0"/>
    <x v="2"/>
    <n v="12"/>
    <s v="Accommodation and food service activities"/>
  </r>
  <r>
    <x v="3"/>
    <n v="1"/>
    <n v="0"/>
    <n v="1"/>
    <x v="1"/>
    <n v="0"/>
    <s v="Education"/>
  </r>
  <r>
    <x v="3"/>
    <n v="1"/>
    <n v="0"/>
    <n v="1"/>
    <x v="1"/>
    <n v="0"/>
    <s v="Manufacturing"/>
  </r>
  <r>
    <x v="3"/>
    <n v="1"/>
    <n v="1"/>
    <n v="0"/>
    <x v="2"/>
    <n v="3"/>
    <s v="Manufacturing"/>
  </r>
  <r>
    <x v="3"/>
    <n v="1"/>
    <n v="1"/>
    <n v="0"/>
    <x v="2"/>
    <n v="0"/>
    <s v="Transportation and storage"/>
  </r>
  <r>
    <x v="3"/>
    <n v="1"/>
    <n v="0"/>
    <n v="1"/>
    <x v="1"/>
    <n v="0"/>
    <s v="Manufacturing"/>
  </r>
  <r>
    <x v="3"/>
    <n v="1"/>
    <n v="1"/>
    <n v="0"/>
    <x v="2"/>
    <n v="1"/>
    <s v="Arts, entertainment and recreation"/>
  </r>
  <r>
    <x v="3"/>
    <n v="1"/>
    <n v="1"/>
    <n v="0"/>
    <x v="2"/>
    <n v="5"/>
    <s v="Manufacturing"/>
  </r>
  <r>
    <x v="3"/>
    <n v="1"/>
    <n v="0"/>
    <n v="1"/>
    <x v="1"/>
    <n v="0"/>
    <s v="Arts, entertainment and recreation"/>
  </r>
  <r>
    <x v="3"/>
    <n v="1"/>
    <n v="0"/>
    <n v="1"/>
    <x v="1"/>
    <n v="0"/>
    <s v="Manufacturing"/>
  </r>
  <r>
    <x v="3"/>
    <n v="1"/>
    <n v="0"/>
    <n v="1"/>
    <x v="1"/>
    <n v="1"/>
    <s v="Education"/>
  </r>
  <r>
    <x v="3"/>
    <n v="1"/>
    <n v="0"/>
    <n v="1"/>
    <x v="1"/>
    <n v="0"/>
    <s v="Manufacturing"/>
  </r>
  <r>
    <x v="3"/>
    <n v="1"/>
    <n v="0"/>
    <n v="1"/>
    <x v="1"/>
    <n v="0"/>
    <s v="Education"/>
  </r>
  <r>
    <x v="3"/>
    <n v="1"/>
    <n v="0"/>
    <n v="1"/>
    <x v="1"/>
    <n v="0"/>
    <s v="Information and communication"/>
  </r>
  <r>
    <x v="3"/>
    <n v="1"/>
    <n v="1"/>
    <n v="0"/>
    <x v="2"/>
    <n v="0"/>
    <s v="Arts, entertainment and recreation"/>
  </r>
  <r>
    <x v="3"/>
    <n v="1"/>
    <n v="1"/>
    <n v="0"/>
    <x v="2"/>
    <n v="0"/>
    <s v="Education"/>
  </r>
  <r>
    <x v="3"/>
    <n v="1"/>
    <n v="1"/>
    <n v="0"/>
    <x v="2"/>
    <n v="0"/>
    <s v="Accommodation and food service activities"/>
  </r>
  <r>
    <x v="3"/>
    <n v="1"/>
    <n v="0"/>
    <n v="1"/>
    <x v="1"/>
    <n v="0"/>
    <s v="Arts, entertainment and recreation"/>
  </r>
  <r>
    <x v="3"/>
    <n v="1"/>
    <n v="0"/>
    <n v="1"/>
    <x v="1"/>
    <n v="0"/>
    <s v="Arts, entertainment and recreation"/>
  </r>
  <r>
    <x v="3"/>
    <n v="1"/>
    <n v="0"/>
    <n v="1"/>
    <x v="1"/>
    <n v="0"/>
    <s v="Water supply; sewerage, waste management and remediation activities"/>
  </r>
  <r>
    <x v="3"/>
    <n v="1"/>
    <n v="1"/>
    <n v="0"/>
    <x v="2"/>
    <n v="0"/>
    <s v="Education"/>
  </r>
  <r>
    <x v="3"/>
    <n v="1"/>
    <n v="0"/>
    <n v="1"/>
    <x v="1"/>
    <n v="0"/>
    <s v="Administrative and support service activities"/>
  </r>
  <r>
    <x v="3"/>
    <n v="1"/>
    <n v="0"/>
    <n v="1"/>
    <x v="1"/>
    <n v="0"/>
    <s v="Manufacturing"/>
  </r>
  <r>
    <x v="3"/>
    <n v="1"/>
    <n v="0"/>
    <n v="1"/>
    <x v="1"/>
    <n v="2"/>
    <s v="Manufacturing"/>
  </r>
  <r>
    <x v="3"/>
    <n v="1"/>
    <n v="1"/>
    <n v="0"/>
    <x v="2"/>
    <n v="0"/>
    <s v="Arts, entertainment and recreation"/>
  </r>
  <r>
    <x v="3"/>
    <n v="1"/>
    <n v="0"/>
    <n v="1"/>
    <x v="1"/>
    <n v="0"/>
    <s v="Wholesale and retail trade; repair of motor vehicles and motorcycles"/>
  </r>
  <r>
    <x v="3"/>
    <n v="1"/>
    <n v="1"/>
    <n v="0"/>
    <x v="2"/>
    <n v="0"/>
    <s v="Transportation and storage"/>
  </r>
  <r>
    <x v="3"/>
    <n v="1"/>
    <n v="1"/>
    <n v="0"/>
    <x v="2"/>
    <n v="0"/>
    <s v="Arts, entertainment and recreation"/>
  </r>
  <r>
    <x v="3"/>
    <n v="1"/>
    <n v="0"/>
    <n v="1"/>
    <x v="1"/>
    <n v="1"/>
    <s v="Administrative and support service activities"/>
  </r>
  <r>
    <x v="3"/>
    <n v="1"/>
    <n v="1"/>
    <n v="0"/>
    <x v="2"/>
    <n v="0"/>
    <s v="Information and communication"/>
  </r>
  <r>
    <x v="3"/>
    <n v="1"/>
    <n v="1"/>
    <n v="0"/>
    <x v="2"/>
    <n v="0"/>
    <s v="Administrative and support service activities"/>
  </r>
  <r>
    <x v="3"/>
    <n v="1"/>
    <n v="0"/>
    <n v="1"/>
    <x v="1"/>
    <n v="1"/>
    <s v="Manufacturing"/>
  </r>
  <r>
    <x v="3"/>
    <n v="1"/>
    <n v="0"/>
    <n v="1"/>
    <x v="1"/>
    <n v="0"/>
    <s v="Professional, scientific and technical activities"/>
  </r>
  <r>
    <x v="3"/>
    <n v="1"/>
    <n v="0"/>
    <n v="1"/>
    <x v="1"/>
    <n v="0"/>
    <s v="Manufacturing"/>
  </r>
  <r>
    <x v="3"/>
    <n v="1"/>
    <n v="1"/>
    <n v="0"/>
    <x v="2"/>
    <n v="0"/>
    <s v="Financial and insurance activities"/>
  </r>
  <r>
    <x v="3"/>
    <n v="1"/>
    <n v="1"/>
    <n v="0"/>
    <x v="2"/>
    <n v="0"/>
    <s v="Arts, entertainment and recreation"/>
  </r>
  <r>
    <x v="3"/>
    <n v="1"/>
    <n v="0"/>
    <n v="1"/>
    <x v="1"/>
    <n v="0"/>
    <s v="Manufacturing"/>
  </r>
  <r>
    <x v="3"/>
    <n v="1"/>
    <n v="1"/>
    <n v="0"/>
    <x v="2"/>
    <n v="0"/>
    <s v="Arts, entertainment and recreation"/>
  </r>
  <r>
    <x v="3"/>
    <n v="1"/>
    <n v="0"/>
    <n v="1"/>
    <x v="1"/>
    <n v="0"/>
    <s v="Arts, entertainment and recreation"/>
  </r>
  <r>
    <x v="3"/>
    <n v="1"/>
    <n v="0"/>
    <n v="1"/>
    <x v="1"/>
    <n v="2"/>
    <s v="Information and communication"/>
  </r>
  <r>
    <x v="3"/>
    <n v="1"/>
    <n v="1"/>
    <n v="0"/>
    <x v="2"/>
    <n v="0"/>
    <s v="Arts, entertainment and recreation"/>
  </r>
  <r>
    <x v="3"/>
    <n v="1"/>
    <n v="0"/>
    <n v="1"/>
    <x v="1"/>
    <n v="1"/>
    <s v="Wholesale and retail trade; repair of motor vehicles and motorcycles"/>
  </r>
  <r>
    <x v="3"/>
    <n v="1"/>
    <n v="1"/>
    <n v="0"/>
    <x v="2"/>
    <n v="0"/>
    <s v="Manufacturing"/>
  </r>
  <r>
    <x v="3"/>
    <n v="1"/>
    <n v="1"/>
    <n v="0"/>
    <x v="2"/>
    <n v="1"/>
    <s v="Information and communication"/>
  </r>
  <r>
    <x v="3"/>
    <n v="1"/>
    <n v="0"/>
    <n v="1"/>
    <x v="1"/>
    <n v="3"/>
    <s v="Manufacturing"/>
  </r>
  <r>
    <x v="3"/>
    <n v="1"/>
    <n v="0"/>
    <n v="1"/>
    <x v="1"/>
    <n v="1"/>
    <s v="Information and communication"/>
  </r>
  <r>
    <x v="3"/>
    <n v="1"/>
    <n v="1"/>
    <n v="0"/>
    <x v="2"/>
    <n v="0"/>
    <s v="Agriculture, forestry and fishing"/>
  </r>
  <r>
    <x v="3"/>
    <n v="1"/>
    <n v="0"/>
    <n v="1"/>
    <x v="1"/>
    <n v="0"/>
    <s v="Arts, entertainment and recreation"/>
  </r>
  <r>
    <x v="3"/>
    <n v="1"/>
    <n v="1"/>
    <n v="0"/>
    <x v="2"/>
    <n v="0"/>
    <s v="Professional, scientific and technical activities"/>
  </r>
  <r>
    <x v="3"/>
    <n v="1"/>
    <n v="0"/>
    <n v="1"/>
    <x v="1"/>
    <n v="0"/>
    <s v="Administrative and support service activities"/>
  </r>
  <r>
    <x v="3"/>
    <n v="1"/>
    <n v="1"/>
    <n v="0"/>
    <x v="2"/>
    <n v="0"/>
    <s v="Manufacturing"/>
  </r>
  <r>
    <x v="3"/>
    <n v="1"/>
    <n v="0"/>
    <n v="1"/>
    <x v="1"/>
    <n v="0"/>
    <s v="Human health and social work activities"/>
  </r>
  <r>
    <x v="3"/>
    <n v="1"/>
    <n v="0"/>
    <n v="1"/>
    <x v="1"/>
    <n v="0"/>
    <s v="Human health and social work activities"/>
  </r>
  <r>
    <x v="3"/>
    <n v="1"/>
    <n v="1"/>
    <n v="0"/>
    <x v="2"/>
    <n v="0"/>
    <s v="Education"/>
  </r>
  <r>
    <x v="3"/>
    <n v="1"/>
    <n v="1"/>
    <n v="0"/>
    <x v="2"/>
    <n v="0"/>
    <s v="Manufacturing"/>
  </r>
  <r>
    <x v="3"/>
    <n v="1"/>
    <n v="1"/>
    <n v="0"/>
    <x v="2"/>
    <n v="0"/>
    <s v="Administrative and support service activities"/>
  </r>
  <r>
    <x v="3"/>
    <n v="1"/>
    <n v="1"/>
    <n v="0"/>
    <x v="2"/>
    <n v="0"/>
    <s v="Manufacturing"/>
  </r>
  <r>
    <x v="3"/>
    <n v="1"/>
    <n v="0"/>
    <n v="1"/>
    <x v="1"/>
    <n v="0"/>
    <s v="Manufacturing"/>
  </r>
  <r>
    <x v="4"/>
    <n v="1"/>
    <n v="0"/>
    <n v="1"/>
    <x v="1"/>
    <n v="3"/>
    <s v="Agriculture, forestry and fishing"/>
  </r>
  <r>
    <x v="4"/>
    <n v="1"/>
    <n v="1"/>
    <n v="0"/>
    <x v="2"/>
    <n v="0"/>
    <s v="Electricity, gas, steam and air conditioning supply"/>
  </r>
  <r>
    <x v="4"/>
    <n v="1"/>
    <n v="0"/>
    <n v="1"/>
    <x v="1"/>
    <n v="0"/>
    <s v="Agriculture, forestry and fishing"/>
  </r>
  <r>
    <x v="4"/>
    <n v="1"/>
    <n v="0"/>
    <n v="1"/>
    <x v="1"/>
    <n v="0"/>
    <s v="Water supply; sewerage, waste management and remediation activities"/>
  </r>
  <r>
    <x v="5"/>
    <n v="1"/>
    <n v="0"/>
    <n v="1"/>
    <x v="1"/>
    <n v="5"/>
    <s v="Agriculture"/>
  </r>
  <r>
    <x v="5"/>
    <n v="1"/>
    <n v="0"/>
    <n v="1"/>
    <x v="1"/>
    <n v="2"/>
    <s v="Agritech"/>
  </r>
  <r>
    <x v="5"/>
    <n v="1"/>
    <n v="0"/>
    <n v="1"/>
    <x v="1"/>
    <n v="0"/>
    <s v="Agriculture, forestry and fishing"/>
  </r>
  <r>
    <x v="5"/>
    <n v="1"/>
    <n v="0"/>
    <n v="1"/>
    <x v="1"/>
    <n v="8"/>
    <s v="Agriculture, forestry and fishing"/>
  </r>
  <r>
    <x v="5"/>
    <n v="1"/>
    <n v="0"/>
    <n v="1"/>
    <x v="1"/>
    <n v="0"/>
    <s v="Information and communication"/>
  </r>
  <r>
    <x v="5"/>
    <n v="1"/>
    <n v="0"/>
    <n v="1"/>
    <x v="1"/>
    <n v="3"/>
    <s v="Manufacturing"/>
  </r>
  <r>
    <x v="5"/>
    <n v="1"/>
    <n v="0"/>
    <n v="1"/>
    <x v="1"/>
    <n v="3"/>
    <s v="Water supply; sewerage, waste management and remediation activities"/>
  </r>
  <r>
    <x v="5"/>
    <n v="1"/>
    <n v="0"/>
    <n v="1"/>
    <x v="1"/>
    <n v="3"/>
    <s v="Water supply; sewerage, waste management and remediation activities"/>
  </r>
  <r>
    <x v="5"/>
    <n v="1"/>
    <n v="0"/>
    <n v="1"/>
    <x v="1"/>
    <n v="3"/>
    <s v="Water supply; sewerage, waste management and remediation activities"/>
  </r>
  <r>
    <x v="5"/>
    <n v="1"/>
    <n v="1"/>
    <n v="0"/>
    <x v="2"/>
    <n v="3"/>
    <s v="Agriculture, forestry and fishing"/>
  </r>
  <r>
    <x v="5"/>
    <n v="1"/>
    <n v="1"/>
    <n v="0"/>
    <x v="2"/>
    <n v="2"/>
    <s v="Manufacturing"/>
  </r>
  <r>
    <x v="5"/>
    <n v="1"/>
    <n v="0"/>
    <n v="1"/>
    <x v="1"/>
    <n v="0"/>
    <s v="Manufacturing"/>
  </r>
  <r>
    <x v="5"/>
    <n v="1"/>
    <n v="0"/>
    <n v="1"/>
    <x v="1"/>
    <n v="3"/>
    <s v="Education"/>
  </r>
  <r>
    <x v="5"/>
    <n v="1"/>
    <n v="0"/>
    <n v="1"/>
    <x v="1"/>
    <n v="0"/>
    <s v="Manufacturing"/>
  </r>
  <r>
    <x v="5"/>
    <n v="1"/>
    <n v="1"/>
    <n v="0"/>
    <x v="2"/>
    <n v="0"/>
    <s v="Agriculture, forestry and fishing"/>
  </r>
  <r>
    <x v="5"/>
    <n v="1"/>
    <n v="0"/>
    <n v="1"/>
    <x v="1"/>
    <n v="4"/>
    <s v="Agriculture, forestry and fishing"/>
  </r>
  <r>
    <x v="5"/>
    <n v="1"/>
    <n v="0"/>
    <n v="1"/>
    <x v="1"/>
    <n v="3"/>
    <s v="Education"/>
  </r>
  <r>
    <x v="5"/>
    <n v="1"/>
    <n v="1"/>
    <n v="0"/>
    <x v="2"/>
    <n v="3"/>
    <s v="Education"/>
  </r>
  <r>
    <x v="5"/>
    <n v="1"/>
    <n v="1"/>
    <n v="0"/>
    <x v="2"/>
    <n v="2"/>
    <s v="Human health and social work activities"/>
  </r>
  <r>
    <x v="5"/>
    <n v="1"/>
    <n v="1"/>
    <n v="0"/>
    <x v="2"/>
    <n v="1"/>
    <s v="Manufacturing"/>
  </r>
  <r>
    <x v="5"/>
    <n v="1"/>
    <n v="0"/>
    <n v="1"/>
    <x v="1"/>
    <n v="2"/>
    <s v="Manufacturing"/>
  </r>
  <r>
    <x v="5"/>
    <n v="1"/>
    <n v="0"/>
    <n v="1"/>
    <x v="1"/>
    <n v="2"/>
    <s v="Manufacturing"/>
  </r>
  <r>
    <x v="5"/>
    <n v="1"/>
    <n v="1"/>
    <n v="0"/>
    <x v="2"/>
    <n v="0"/>
    <s v="Agriculture, forestry and fishing"/>
  </r>
  <r>
    <x v="5"/>
    <n v="1"/>
    <n v="0"/>
    <n v="1"/>
    <x v="1"/>
    <n v="0"/>
    <s v="Manufacturing"/>
  </r>
  <r>
    <x v="5"/>
    <n v="1"/>
    <n v="1"/>
    <n v="0"/>
    <x v="2"/>
    <n v="7"/>
    <s v="Manufacturing"/>
  </r>
  <r>
    <x v="5"/>
    <n v="1"/>
    <n v="0"/>
    <n v="1"/>
    <x v="1"/>
    <n v="6"/>
    <s v="Manufacturing"/>
  </r>
  <r>
    <x v="5"/>
    <n v="1"/>
    <n v="1"/>
    <n v="0"/>
    <x v="2"/>
    <n v="0"/>
    <s v="Manufacturing"/>
  </r>
  <r>
    <x v="5"/>
    <n v="1"/>
    <n v="0"/>
    <n v="1"/>
    <x v="1"/>
    <n v="26"/>
    <s v="Manufacturing"/>
  </r>
  <r>
    <x v="5"/>
    <n v="1"/>
    <n v="0"/>
    <n v="1"/>
    <x v="1"/>
    <n v="0"/>
    <s v="Manufacturing"/>
  </r>
  <r>
    <x v="5"/>
    <n v="1"/>
    <n v="1"/>
    <n v="0"/>
    <x v="2"/>
    <n v="0"/>
    <s v="Manufacturing"/>
  </r>
  <r>
    <x v="5"/>
    <n v="1"/>
    <n v="1"/>
    <n v="0"/>
    <x v="2"/>
    <n v="0"/>
    <s v="Wholesale and retail trade; repair of motor vehicles and motorcycles"/>
  </r>
  <r>
    <x v="5"/>
    <n v="1"/>
    <n v="1"/>
    <n v="0"/>
    <x v="2"/>
    <n v="2"/>
    <s v="Manufacturing"/>
  </r>
  <r>
    <x v="5"/>
    <n v="1"/>
    <n v="0"/>
    <n v="1"/>
    <x v="1"/>
    <n v="3"/>
    <s v="Manufacturing"/>
  </r>
  <r>
    <x v="5"/>
    <n v="1"/>
    <n v="0"/>
    <n v="1"/>
    <x v="1"/>
    <n v="0"/>
    <s v="Manufacturing"/>
  </r>
  <r>
    <x v="5"/>
    <n v="1"/>
    <n v="1"/>
    <n v="0"/>
    <x v="2"/>
    <n v="0"/>
    <s v="Human health and social work activities"/>
  </r>
  <r>
    <x v="5"/>
    <n v="1"/>
    <n v="0"/>
    <n v="1"/>
    <x v="1"/>
    <n v="0"/>
    <s v="Manufacturing"/>
  </r>
  <r>
    <x v="5"/>
    <n v="1"/>
    <n v="0"/>
    <n v="1"/>
    <x v="1"/>
    <n v="0"/>
    <s v="Information and communication"/>
  </r>
  <r>
    <x v="5"/>
    <n v="1"/>
    <n v="0"/>
    <n v="1"/>
    <x v="1"/>
    <n v="0"/>
    <s v="Manufacturing"/>
  </r>
  <r>
    <x v="5"/>
    <n v="1"/>
    <n v="1"/>
    <n v="0"/>
    <x v="2"/>
    <n v="0"/>
    <s v="Education"/>
  </r>
  <r>
    <x v="5"/>
    <n v="1"/>
    <n v="0"/>
    <n v="1"/>
    <x v="1"/>
    <n v="0"/>
    <s v="Manufacturing"/>
  </r>
  <r>
    <x v="5"/>
    <n v="1"/>
    <n v="0"/>
    <n v="1"/>
    <x v="1"/>
    <n v="0"/>
    <s v="Human health and social work activities"/>
  </r>
  <r>
    <x v="5"/>
    <n v="1"/>
    <n v="0"/>
    <n v="1"/>
    <x v="1"/>
    <n v="0"/>
    <s v="Manufacturing"/>
  </r>
  <r>
    <x v="5"/>
    <n v="1"/>
    <n v="0"/>
    <n v="1"/>
    <x v="1"/>
    <n v="0"/>
    <s v="Agriculture, forestry and fishing"/>
  </r>
  <r>
    <x v="5"/>
    <n v="1"/>
    <n v="0"/>
    <n v="1"/>
    <x v="1"/>
    <n v="0"/>
    <s v="Human health and social work activities"/>
  </r>
  <r>
    <x v="5"/>
    <n v="1"/>
    <n v="0"/>
    <n v="1"/>
    <x v="1"/>
    <n v="0"/>
    <s v="Manufacturing"/>
  </r>
  <r>
    <x v="5"/>
    <n v="1"/>
    <n v="1"/>
    <n v="0"/>
    <x v="2"/>
    <n v="0"/>
    <s v="Human health and social work activities"/>
  </r>
  <r>
    <x v="5"/>
    <n v="1"/>
    <n v="0"/>
    <n v="1"/>
    <x v="1"/>
    <n v="0"/>
    <s v="Manufacturing"/>
  </r>
  <r>
    <x v="5"/>
    <n v="1"/>
    <n v="0"/>
    <n v="1"/>
    <x v="1"/>
    <n v="0"/>
    <s v="Manufacturing"/>
  </r>
  <r>
    <x v="5"/>
    <n v="1"/>
    <n v="0"/>
    <n v="1"/>
    <x v="1"/>
    <n v="0"/>
    <s v="Arts, entertainment and recreation"/>
  </r>
  <r>
    <x v="5"/>
    <n v="1"/>
    <n v="0"/>
    <n v="1"/>
    <x v="1"/>
    <n v="0"/>
    <s v="Manufacturing"/>
  </r>
  <r>
    <x v="5"/>
    <n v="1"/>
    <n v="0"/>
    <n v="1"/>
    <x v="1"/>
    <n v="0"/>
    <s v="Human health and social work activities"/>
  </r>
  <r>
    <x v="5"/>
    <n v="1"/>
    <n v="0"/>
    <n v="1"/>
    <x v="1"/>
    <n v="0"/>
    <s v="Professional, scientific and technical activities"/>
  </r>
  <r>
    <x v="5"/>
    <n v="1"/>
    <n v="0"/>
    <n v="1"/>
    <x v="1"/>
    <n v="0"/>
    <s v="Education"/>
  </r>
  <r>
    <x v="5"/>
    <n v="1"/>
    <n v="1"/>
    <n v="0"/>
    <x v="2"/>
    <n v="0"/>
    <s v="Information and communication"/>
  </r>
  <r>
    <x v="5"/>
    <n v="1"/>
    <n v="0"/>
    <n v="1"/>
    <x v="1"/>
    <n v="0"/>
    <s v="Manufacturing"/>
  </r>
  <r>
    <x v="5"/>
    <n v="1"/>
    <n v="1"/>
    <n v="0"/>
    <x v="2"/>
    <n v="0"/>
    <s v="Education"/>
  </r>
  <r>
    <x v="5"/>
    <n v="1"/>
    <n v="1"/>
    <n v="0"/>
    <x v="2"/>
    <n v="0"/>
    <s v="Agriculture, forestry and fishing"/>
  </r>
  <r>
    <x v="5"/>
    <n v="1"/>
    <n v="1"/>
    <n v="0"/>
    <x v="2"/>
    <n v="0"/>
    <s v="Wholesale and retail trade; repair of motor vehicles and motorcycles"/>
  </r>
  <r>
    <x v="5"/>
    <n v="1"/>
    <n v="0"/>
    <n v="1"/>
    <x v="1"/>
    <n v="0"/>
    <s v="Education"/>
  </r>
  <r>
    <x v="5"/>
    <n v="1"/>
    <n v="0"/>
    <n v="1"/>
    <x v="1"/>
    <n v="0"/>
    <s v="Information and communication"/>
  </r>
  <r>
    <x v="5"/>
    <n v="1"/>
    <n v="1"/>
    <n v="0"/>
    <x v="2"/>
    <n v="0"/>
    <s v="Information and communication"/>
  </r>
  <r>
    <x v="5"/>
    <n v="1"/>
    <n v="0"/>
    <n v="1"/>
    <x v="1"/>
    <n v="0"/>
    <s v="Arts, entertainment and recreation"/>
  </r>
  <r>
    <x v="6"/>
    <n v="1"/>
    <n v="0"/>
    <n v="1"/>
    <x v="1"/>
    <n v="5"/>
    <s v="-"/>
  </r>
  <r>
    <x v="6"/>
    <n v="1"/>
    <n v="0"/>
    <n v="1"/>
    <x v="1"/>
    <n v="3"/>
    <s v="Manufacturing"/>
  </r>
  <r>
    <x v="6"/>
    <n v="1"/>
    <n v="1"/>
    <n v="0"/>
    <x v="2"/>
    <n v="2"/>
    <s v="Accommodation and food service activities"/>
  </r>
  <r>
    <x v="6"/>
    <n v="1"/>
    <n v="0"/>
    <n v="1"/>
    <x v="1"/>
    <n v="9"/>
    <s v="Manufacturing"/>
  </r>
  <r>
    <x v="6"/>
    <n v="1"/>
    <n v="0"/>
    <n v="1"/>
    <x v="1"/>
    <n v="1"/>
    <s v="Arts, entertainment and recreation"/>
  </r>
  <r>
    <x v="6"/>
    <n v="1"/>
    <n v="0"/>
    <n v="1"/>
    <x v="1"/>
    <n v="3"/>
    <s v="Manufacturing"/>
  </r>
  <r>
    <x v="6"/>
    <n v="1"/>
    <n v="1"/>
    <n v="0"/>
    <x v="2"/>
    <n v="2"/>
    <s v="Manufacturing"/>
  </r>
  <r>
    <x v="6"/>
    <n v="1"/>
    <n v="0"/>
    <n v="1"/>
    <x v="1"/>
    <n v="4"/>
    <s v="Arts, entertainment and recreation"/>
  </r>
  <r>
    <x v="6"/>
    <n v="1"/>
    <n v="0"/>
    <n v="1"/>
    <x v="1"/>
    <n v="0"/>
    <s v="Manufacturing"/>
  </r>
  <r>
    <x v="6"/>
    <n v="1"/>
    <n v="0"/>
    <n v="1"/>
    <x v="1"/>
    <n v="1"/>
    <s v="Accommodation and food service activities"/>
  </r>
  <r>
    <x v="6"/>
    <n v="1"/>
    <n v="0"/>
    <n v="1"/>
    <x v="1"/>
    <n v="6"/>
    <s v="Human health and social work activities"/>
  </r>
  <r>
    <x v="6"/>
    <n v="1"/>
    <n v="0"/>
    <n v="1"/>
    <x v="1"/>
    <n v="1"/>
    <s v="Arts, entertainment and recreation"/>
  </r>
  <r>
    <x v="6"/>
    <n v="1"/>
    <n v="0"/>
    <n v="1"/>
    <x v="1"/>
    <n v="3"/>
    <s v="Administrative and support service activities"/>
  </r>
  <r>
    <x v="6"/>
    <n v="1"/>
    <n v="0"/>
    <n v="1"/>
    <x v="1"/>
    <n v="0"/>
    <s v="Manufacturing"/>
  </r>
  <r>
    <x v="6"/>
    <n v="1"/>
    <n v="1"/>
    <n v="0"/>
    <x v="2"/>
    <n v="0"/>
    <s v="Agriculture, forestry and fishing"/>
  </r>
  <r>
    <x v="6"/>
    <n v="1"/>
    <n v="0"/>
    <n v="1"/>
    <x v="1"/>
    <n v="0"/>
    <s v="Manufacturing"/>
  </r>
  <r>
    <x v="6"/>
    <n v="1"/>
    <n v="1"/>
    <n v="0"/>
    <x v="2"/>
    <n v="0"/>
    <s v="Education"/>
  </r>
  <r>
    <x v="6"/>
    <n v="1"/>
    <n v="0"/>
    <n v="1"/>
    <x v="1"/>
    <n v="0"/>
    <s v="Manufacturing"/>
  </r>
  <r>
    <x v="6"/>
    <n v="1"/>
    <n v="0"/>
    <n v="1"/>
    <x v="1"/>
    <n v="1"/>
    <s v="Manufacturing"/>
  </r>
  <r>
    <x v="6"/>
    <n v="1"/>
    <n v="1"/>
    <n v="0"/>
    <x v="2"/>
    <n v="0"/>
    <s v="Education"/>
  </r>
  <r>
    <x v="6"/>
    <n v="1"/>
    <n v="0"/>
    <n v="1"/>
    <x v="1"/>
    <n v="0"/>
    <s v="Manufacturing"/>
  </r>
  <r>
    <x v="6"/>
    <n v="1"/>
    <n v="0"/>
    <n v="1"/>
    <x v="1"/>
    <n v="0"/>
    <s v="Manufacturing"/>
  </r>
  <r>
    <x v="6"/>
    <n v="1"/>
    <n v="0"/>
    <n v="1"/>
    <x v="1"/>
    <n v="0"/>
    <s v="Human health and social work activities"/>
  </r>
  <r>
    <x v="6"/>
    <n v="1"/>
    <n v="0"/>
    <n v="1"/>
    <x v="1"/>
    <n v="1"/>
    <s v="Manufacturing"/>
  </r>
  <r>
    <x v="6"/>
    <n v="1"/>
    <n v="1"/>
    <n v="0"/>
    <x v="2"/>
    <n v="0"/>
    <s v="Manufacturing"/>
  </r>
  <r>
    <x v="6"/>
    <n v="1"/>
    <n v="1"/>
    <n v="0"/>
    <x v="2"/>
    <n v="6"/>
    <s v="Agriculture, forestry and fishing"/>
  </r>
  <r>
    <x v="6"/>
    <n v="1"/>
    <n v="0"/>
    <n v="1"/>
    <x v="1"/>
    <n v="3"/>
    <s v="Agriculture, forestry and fishing"/>
  </r>
  <r>
    <x v="6"/>
    <n v="1"/>
    <n v="0"/>
    <n v="1"/>
    <x v="1"/>
    <n v="0"/>
    <s v="Manufacturing"/>
  </r>
  <r>
    <x v="6"/>
    <n v="1"/>
    <n v="1"/>
    <n v="0"/>
    <x v="2"/>
    <n v="1"/>
    <s v="Professional, scientific and technical activities"/>
  </r>
  <r>
    <x v="6"/>
    <n v="1"/>
    <n v="0"/>
    <n v="1"/>
    <x v="1"/>
    <n v="0"/>
    <s v="Manufacturing"/>
  </r>
  <r>
    <x v="6"/>
    <n v="1"/>
    <n v="0"/>
    <n v="1"/>
    <x v="1"/>
    <n v="0"/>
    <s v="Arts, entertainment and recreation"/>
  </r>
  <r>
    <x v="6"/>
    <n v="1"/>
    <n v="0"/>
    <n v="1"/>
    <x v="1"/>
    <n v="0"/>
    <s v="Agriculture, forestry and fishing"/>
  </r>
  <r>
    <x v="6"/>
    <n v="1"/>
    <n v="0"/>
    <n v="1"/>
    <x v="1"/>
    <n v="1"/>
    <s v="Agriculture, forestry and fishing"/>
  </r>
  <r>
    <x v="6"/>
    <n v="1"/>
    <n v="0"/>
    <n v="1"/>
    <x v="1"/>
    <n v="0"/>
    <s v="Accommodation and food service activities"/>
  </r>
  <r>
    <x v="6"/>
    <n v="1"/>
    <n v="1"/>
    <n v="0"/>
    <x v="2"/>
    <n v="0"/>
    <s v="Agriculture, forestry and fishing"/>
  </r>
  <r>
    <x v="6"/>
    <n v="1"/>
    <n v="0"/>
    <n v="1"/>
    <x v="1"/>
    <n v="0"/>
    <s v="Manufacturing"/>
  </r>
  <r>
    <x v="6"/>
    <n v="1"/>
    <n v="0"/>
    <n v="1"/>
    <x v="1"/>
    <n v="0"/>
    <s v="Education"/>
  </r>
  <r>
    <x v="6"/>
    <n v="1"/>
    <n v="0"/>
    <n v="1"/>
    <x v="1"/>
    <n v="0"/>
    <s v="Manufacturing"/>
  </r>
  <r>
    <x v="6"/>
    <n v="1"/>
    <n v="0"/>
    <n v="1"/>
    <x v="1"/>
    <n v="0"/>
    <s v="Human health and social work activities"/>
  </r>
  <r>
    <x v="6"/>
    <n v="1"/>
    <n v="0"/>
    <n v="1"/>
    <x v="1"/>
    <n v="0"/>
    <s v="Manufacturing"/>
  </r>
  <r>
    <x v="6"/>
    <n v="1"/>
    <n v="0"/>
    <n v="1"/>
    <x v="1"/>
    <n v="0"/>
    <s v="Arts, entertainment and recreation"/>
  </r>
  <r>
    <x v="6"/>
    <n v="1"/>
    <n v="1"/>
    <n v="0"/>
    <x v="2"/>
    <n v="0"/>
    <s v="Manufacturing"/>
  </r>
  <r>
    <x v="6"/>
    <n v="1"/>
    <n v="0"/>
    <n v="1"/>
    <x v="1"/>
    <n v="1"/>
    <s v="Human health and social work activities"/>
  </r>
  <r>
    <x v="6"/>
    <n v="1"/>
    <n v="0"/>
    <n v="1"/>
    <x v="1"/>
    <n v="0"/>
    <s v="Manufacturing"/>
  </r>
  <r>
    <x v="6"/>
    <n v="1"/>
    <n v="0"/>
    <n v="1"/>
    <x v="1"/>
    <n v="0"/>
    <s v="Agriculture, forestry and fishing"/>
  </r>
  <r>
    <x v="6"/>
    <n v="1"/>
    <n v="1"/>
    <n v="0"/>
    <x v="2"/>
    <n v="1"/>
    <s v="Arts, entertainment and recreation"/>
  </r>
  <r>
    <x v="6"/>
    <n v="1"/>
    <n v="1"/>
    <n v="0"/>
    <x v="2"/>
    <n v="0"/>
    <n v="0"/>
  </r>
  <r>
    <x v="6"/>
    <n v="1"/>
    <n v="0"/>
    <n v="1"/>
    <x v="1"/>
    <n v="0"/>
    <s v="Administrative and support service activities"/>
  </r>
  <r>
    <x v="6"/>
    <n v="1"/>
    <n v="0"/>
    <n v="1"/>
    <x v="1"/>
    <n v="0"/>
    <s v="Agriculture, forestry and fishing"/>
  </r>
  <r>
    <x v="6"/>
    <n v="1"/>
    <n v="0"/>
    <n v="1"/>
    <x v="1"/>
    <n v="1"/>
    <s v="Manufacturing"/>
  </r>
  <r>
    <x v="6"/>
    <n v="1"/>
    <n v="0"/>
    <n v="1"/>
    <x v="1"/>
    <n v="0"/>
    <s v="Arts, entertainment and recreation"/>
  </r>
  <r>
    <x v="6"/>
    <n v="1"/>
    <n v="0"/>
    <n v="1"/>
    <x v="1"/>
    <n v="0"/>
    <s v="Administrative and support service activities"/>
  </r>
  <r>
    <x v="6"/>
    <n v="1"/>
    <n v="0"/>
    <n v="1"/>
    <x v="1"/>
    <n v="0"/>
    <s v="Manufacturing"/>
  </r>
  <r>
    <x v="6"/>
    <n v="1"/>
    <n v="0"/>
    <n v="1"/>
    <x v="1"/>
    <n v="0"/>
    <s v="Agriculture, forestry and fishing"/>
  </r>
  <r>
    <x v="6"/>
    <n v="1"/>
    <n v="0"/>
    <n v="1"/>
    <x v="1"/>
    <n v="0"/>
    <s v="Arts, entertainment and recreation"/>
  </r>
  <r>
    <x v="6"/>
    <n v="1"/>
    <n v="1"/>
    <n v="0"/>
    <x v="2"/>
    <n v="1"/>
    <n v="0"/>
  </r>
  <r>
    <x v="6"/>
    <n v="1"/>
    <n v="1"/>
    <n v="0"/>
    <x v="2"/>
    <n v="0"/>
    <s v="Administrative and support service activities"/>
  </r>
  <r>
    <x v="6"/>
    <n v="1"/>
    <n v="0"/>
    <n v="1"/>
    <x v="1"/>
    <n v="0"/>
    <s v="Professional, scientific and technical activities"/>
  </r>
  <r>
    <x v="6"/>
    <n v="1"/>
    <n v="0"/>
    <n v="1"/>
    <x v="1"/>
    <n v="0"/>
    <s v="Agriculture, forestry and fishing"/>
  </r>
  <r>
    <x v="6"/>
    <n v="1"/>
    <n v="0"/>
    <n v="1"/>
    <x v="1"/>
    <n v="0"/>
    <s v="Accommodation and food service activities"/>
  </r>
  <r>
    <x v="6"/>
    <n v="1"/>
    <n v="0"/>
    <n v="1"/>
    <x v="1"/>
    <n v="0"/>
    <s v="Administrative and support service activities"/>
  </r>
  <r>
    <x v="6"/>
    <n v="1"/>
    <n v="0"/>
    <n v="1"/>
    <x v="1"/>
    <n v="0"/>
    <s v="Professional, scientific and technical activities"/>
  </r>
  <r>
    <x v="6"/>
    <n v="1"/>
    <n v="0"/>
    <n v="1"/>
    <x v="1"/>
    <n v="0"/>
    <s v="Administrative and support service activities"/>
  </r>
  <r>
    <x v="6"/>
    <n v="1"/>
    <n v="1"/>
    <n v="0"/>
    <x v="2"/>
    <n v="0"/>
    <s v="Construction"/>
  </r>
  <r>
    <x v="6"/>
    <n v="1"/>
    <n v="1"/>
    <n v="0"/>
    <x v="2"/>
    <n v="0"/>
    <s v="Manufacturing"/>
  </r>
  <r>
    <x v="6"/>
    <n v="1"/>
    <n v="1"/>
    <n v="0"/>
    <x v="2"/>
    <n v="0"/>
    <s v="Manufacturing"/>
  </r>
  <r>
    <x v="6"/>
    <n v="1"/>
    <n v="1"/>
    <n v="0"/>
    <x v="2"/>
    <n v="0"/>
    <s v="Manufacturing"/>
  </r>
  <r>
    <x v="6"/>
    <n v="1"/>
    <n v="0"/>
    <n v="1"/>
    <x v="1"/>
    <n v="0"/>
    <s v="Financial and insurance activities"/>
  </r>
  <r>
    <x v="6"/>
    <n v="1"/>
    <n v="1"/>
    <n v="0"/>
    <x v="2"/>
    <n v="0"/>
    <s v="Agriculture, forestry and fishing"/>
  </r>
  <r>
    <x v="6"/>
    <n v="1"/>
    <n v="0"/>
    <n v="1"/>
    <x v="1"/>
    <n v="0"/>
    <s v="Arts, entertainment and recreation"/>
  </r>
  <r>
    <x v="6"/>
    <n v="1"/>
    <n v="0"/>
    <n v="1"/>
    <x v="1"/>
    <n v="0"/>
    <s v="Human health and social work activities"/>
  </r>
  <r>
    <x v="6"/>
    <n v="1"/>
    <n v="0"/>
    <n v="1"/>
    <x v="1"/>
    <n v="0"/>
    <s v="Manufacturing"/>
  </r>
  <r>
    <x v="6"/>
    <n v="1"/>
    <n v="0"/>
    <n v="1"/>
    <x v="1"/>
    <n v="0"/>
    <s v="Arts, entertainment and recreation"/>
  </r>
  <r>
    <x v="6"/>
    <n v="1"/>
    <n v="0"/>
    <n v="1"/>
    <x v="1"/>
    <n v="0"/>
    <s v="Manufacturing"/>
  </r>
  <r>
    <x v="6"/>
    <n v="1"/>
    <n v="0"/>
    <n v="1"/>
    <x v="1"/>
    <n v="0"/>
    <s v="Agriculture, forestry and fishing"/>
  </r>
  <r>
    <x v="6"/>
    <n v="1"/>
    <n v="1"/>
    <n v="0"/>
    <x v="2"/>
    <n v="0"/>
    <s v="Arts, entertainment and recreation"/>
  </r>
  <r>
    <x v="6"/>
    <n v="1"/>
    <n v="0"/>
    <n v="1"/>
    <x v="1"/>
    <n v="0"/>
    <s v="Arts, entertainment and recreation"/>
  </r>
  <r>
    <x v="6"/>
    <n v="1"/>
    <n v="0"/>
    <n v="1"/>
    <x v="1"/>
    <n v="0"/>
    <s v="Manufacturing"/>
  </r>
  <r>
    <x v="6"/>
    <n v="1"/>
    <n v="0"/>
    <n v="1"/>
    <x v="1"/>
    <n v="0"/>
    <s v="Arts, entertainment and recreation"/>
  </r>
  <r>
    <x v="6"/>
    <n v="1"/>
    <n v="0"/>
    <n v="1"/>
    <x v="1"/>
    <n v="0"/>
    <s v="Arts, entertainment and recreation"/>
  </r>
  <r>
    <x v="6"/>
    <n v="1"/>
    <n v="0"/>
    <n v="1"/>
    <x v="1"/>
    <n v="0"/>
    <s v="Arts, entertainment and recreation"/>
  </r>
  <r>
    <x v="6"/>
    <n v="1"/>
    <n v="1"/>
    <n v="0"/>
    <x v="2"/>
    <n v="0"/>
    <s v="Accommodation and food service activities"/>
  </r>
  <r>
    <x v="6"/>
    <n v="1"/>
    <n v="0"/>
    <n v="1"/>
    <x v="1"/>
    <n v="0"/>
    <s v="Arts, entertainment and recreation"/>
  </r>
  <r>
    <x v="6"/>
    <n v="1"/>
    <n v="0"/>
    <n v="1"/>
    <x v="1"/>
    <n v="0"/>
    <n v="0"/>
  </r>
  <r>
    <x v="6"/>
    <n v="1"/>
    <n v="0"/>
    <n v="1"/>
    <x v="1"/>
    <n v="0"/>
    <s v="Public administration and defense; compulsory social security"/>
  </r>
  <r>
    <x v="6"/>
    <n v="1"/>
    <n v="0"/>
    <n v="1"/>
    <x v="1"/>
    <n v="0"/>
    <s v="Manufacturing"/>
  </r>
  <r>
    <x v="6"/>
    <n v="1"/>
    <n v="1"/>
    <n v="0"/>
    <x v="2"/>
    <n v="0"/>
    <s v="Manufacturing"/>
  </r>
  <r>
    <x v="6"/>
    <n v="1"/>
    <n v="0"/>
    <n v="1"/>
    <x v="1"/>
    <n v="0"/>
    <s v="Education"/>
  </r>
  <r>
    <x v="7"/>
    <n v="1"/>
    <n v="0"/>
    <n v="1"/>
    <x v="1"/>
    <n v="1"/>
    <s v="Manufacturing"/>
  </r>
  <r>
    <x v="7"/>
    <n v="1"/>
    <n v="1"/>
    <n v="0"/>
    <x v="2"/>
    <n v="5"/>
    <s v="Manufacturing"/>
  </r>
  <r>
    <x v="7"/>
    <n v="1"/>
    <n v="1"/>
    <n v="0"/>
    <x v="2"/>
    <n v="4"/>
    <s v="Manufacturing"/>
  </r>
  <r>
    <x v="7"/>
    <n v="1"/>
    <n v="0"/>
    <n v="1"/>
    <x v="1"/>
    <n v="4"/>
    <s v="Water supply; sewerage, waste management and remediation activities"/>
  </r>
  <r>
    <x v="7"/>
    <n v="1"/>
    <n v="0"/>
    <n v="1"/>
    <x v="1"/>
    <n v="2"/>
    <s v="Manufacturing"/>
  </r>
  <r>
    <x v="7"/>
    <n v="1"/>
    <n v="0"/>
    <n v="1"/>
    <x v="1"/>
    <n v="0"/>
    <s v="Manufacturing"/>
  </r>
  <r>
    <x v="7"/>
    <n v="1"/>
    <n v="0"/>
    <n v="1"/>
    <x v="1"/>
    <n v="6"/>
    <n v="0"/>
  </r>
  <r>
    <x v="7"/>
    <n v="1"/>
    <n v="1"/>
    <n v="0"/>
    <x v="2"/>
    <n v="6"/>
    <s v="Administrative and support service activities"/>
  </r>
  <r>
    <x v="7"/>
    <n v="1"/>
    <n v="1"/>
    <n v="0"/>
    <x v="2"/>
    <n v="6"/>
    <s v="Arts, entertainment and recreation"/>
  </r>
  <r>
    <x v="7"/>
    <n v="1"/>
    <n v="1"/>
    <n v="0"/>
    <x v="2"/>
    <n v="5"/>
    <s v="Education"/>
  </r>
  <r>
    <x v="7"/>
    <n v="1"/>
    <n v="0"/>
    <n v="1"/>
    <x v="1"/>
    <n v="3"/>
    <n v="0"/>
  </r>
  <r>
    <x v="7"/>
    <n v="1"/>
    <n v="0"/>
    <n v="1"/>
    <x v="1"/>
    <n v="1"/>
    <s v="Manufacturing"/>
  </r>
  <r>
    <x v="7"/>
    <n v="1"/>
    <n v="0"/>
    <n v="1"/>
    <x v="1"/>
    <n v="1"/>
    <s v="Arts, entertainment and recreation"/>
  </r>
  <r>
    <x v="7"/>
    <n v="1"/>
    <n v="0"/>
    <n v="1"/>
    <x v="1"/>
    <n v="2"/>
    <s v="Human health and social work activities"/>
  </r>
  <r>
    <x v="7"/>
    <n v="1"/>
    <n v="1"/>
    <n v="0"/>
    <x v="2"/>
    <n v="4"/>
    <s v="Construction"/>
  </r>
  <r>
    <x v="7"/>
    <n v="1"/>
    <n v="0"/>
    <n v="1"/>
    <x v="1"/>
    <n v="0"/>
    <s v="Accommodation and food service activities"/>
  </r>
  <r>
    <x v="7"/>
    <n v="1"/>
    <n v="1"/>
    <n v="0"/>
    <x v="2"/>
    <n v="1"/>
    <s v="Administrative and support service activities"/>
  </r>
  <r>
    <x v="7"/>
    <n v="1"/>
    <n v="1"/>
    <n v="0"/>
    <x v="2"/>
    <n v="6"/>
    <s v="Administrative and support service activities"/>
  </r>
  <r>
    <x v="7"/>
    <n v="1"/>
    <n v="1"/>
    <n v="0"/>
    <x v="2"/>
    <n v="0"/>
    <s v="Financial and insurance activities"/>
  </r>
  <r>
    <x v="7"/>
    <n v="1"/>
    <n v="1"/>
    <n v="0"/>
    <x v="2"/>
    <n v="4"/>
    <s v="Human health and social work activities"/>
  </r>
  <r>
    <x v="7"/>
    <n v="1"/>
    <n v="0"/>
    <n v="1"/>
    <x v="1"/>
    <n v="10"/>
    <s v="Education"/>
  </r>
  <r>
    <x v="7"/>
    <n v="1"/>
    <n v="0"/>
    <n v="1"/>
    <x v="1"/>
    <n v="0"/>
    <s v="Education"/>
  </r>
  <r>
    <x v="7"/>
    <n v="1"/>
    <n v="0"/>
    <n v="1"/>
    <x v="1"/>
    <n v="6"/>
    <s v="Education"/>
  </r>
  <r>
    <x v="7"/>
    <n v="1"/>
    <n v="1"/>
    <n v="0"/>
    <x v="2"/>
    <n v="9"/>
    <s v="Manufacturing"/>
  </r>
  <r>
    <x v="7"/>
    <n v="1"/>
    <n v="0"/>
    <n v="1"/>
    <x v="1"/>
    <n v="0"/>
    <s v="Human health and social work activities"/>
  </r>
  <r>
    <x v="7"/>
    <n v="1"/>
    <n v="0"/>
    <n v="1"/>
    <x v="1"/>
    <n v="0"/>
    <s v="Agriculture, forestry and fishing"/>
  </r>
  <r>
    <x v="7"/>
    <n v="1"/>
    <n v="0"/>
    <n v="1"/>
    <x v="1"/>
    <n v="4"/>
    <s v="Agriculture, forestry and fishing"/>
  </r>
  <r>
    <x v="7"/>
    <n v="1"/>
    <n v="0"/>
    <n v="1"/>
    <x v="1"/>
    <n v="0"/>
    <s v="Manufacturing"/>
  </r>
  <r>
    <x v="7"/>
    <n v="1"/>
    <n v="0"/>
    <n v="1"/>
    <x v="1"/>
    <n v="0"/>
    <s v="Manufacturing"/>
  </r>
  <r>
    <x v="7"/>
    <n v="1"/>
    <n v="0"/>
    <n v="1"/>
    <x v="1"/>
    <n v="1"/>
    <s v="Manufacturing"/>
  </r>
  <r>
    <x v="7"/>
    <n v="1"/>
    <n v="0"/>
    <n v="1"/>
    <x v="1"/>
    <n v="2"/>
    <s v="Human health and social work activities"/>
  </r>
  <r>
    <x v="7"/>
    <n v="1"/>
    <n v="0"/>
    <n v="1"/>
    <x v="1"/>
    <n v="3"/>
    <s v="Arts, entertainment and recreation"/>
  </r>
  <r>
    <x v="7"/>
    <n v="1"/>
    <n v="0"/>
    <n v="1"/>
    <x v="1"/>
    <n v="1"/>
    <s v="Arts, entertainment and recreation"/>
  </r>
  <r>
    <x v="7"/>
    <n v="1"/>
    <n v="0"/>
    <n v="1"/>
    <x v="1"/>
    <n v="0"/>
    <s v="Arts, entertainment and recreation"/>
  </r>
  <r>
    <x v="7"/>
    <n v="1"/>
    <n v="0"/>
    <n v="1"/>
    <x v="1"/>
    <n v="1"/>
    <s v="Manufacturing"/>
  </r>
  <r>
    <x v="7"/>
    <n v="1"/>
    <n v="0"/>
    <n v="1"/>
    <x v="1"/>
    <n v="0"/>
    <s v="Manufacturing"/>
  </r>
  <r>
    <x v="7"/>
    <n v="1"/>
    <n v="0"/>
    <n v="1"/>
    <x v="1"/>
    <n v="0"/>
    <s v="Education"/>
  </r>
  <r>
    <x v="7"/>
    <n v="1"/>
    <n v="0"/>
    <n v="1"/>
    <x v="1"/>
    <n v="2"/>
    <s v="Manufacturing"/>
  </r>
  <r>
    <x v="7"/>
    <n v="1"/>
    <n v="0"/>
    <n v="1"/>
    <x v="1"/>
    <n v="0"/>
    <s v="Manufacturing"/>
  </r>
  <r>
    <x v="7"/>
    <n v="1"/>
    <n v="0"/>
    <n v="1"/>
    <x v="1"/>
    <n v="3"/>
    <s v="Arts, entertainment and recreation"/>
  </r>
  <r>
    <x v="7"/>
    <n v="1"/>
    <n v="0"/>
    <n v="1"/>
    <x v="1"/>
    <n v="2"/>
    <s v="Manufacturing"/>
  </r>
  <r>
    <x v="7"/>
    <n v="1"/>
    <n v="1"/>
    <n v="0"/>
    <x v="2"/>
    <n v="1"/>
    <s v="Manufacturing"/>
  </r>
  <r>
    <x v="7"/>
    <n v="1"/>
    <n v="1"/>
    <n v="0"/>
    <x v="2"/>
    <n v="5"/>
    <s v="Education"/>
  </r>
  <r>
    <x v="7"/>
    <n v="1"/>
    <n v="1"/>
    <n v="0"/>
    <x v="2"/>
    <n v="0"/>
    <s v="Transportation and storage"/>
  </r>
  <r>
    <x v="7"/>
    <n v="1"/>
    <n v="1"/>
    <n v="0"/>
    <x v="2"/>
    <n v="1"/>
    <s v="Education"/>
  </r>
  <r>
    <x v="7"/>
    <n v="1"/>
    <n v="1"/>
    <n v="0"/>
    <x v="2"/>
    <n v="1"/>
    <s v="Information and communication"/>
  </r>
  <r>
    <x v="7"/>
    <n v="1"/>
    <n v="1"/>
    <n v="0"/>
    <x v="2"/>
    <n v="1"/>
    <s v="Agriculture, forestry and fishing"/>
  </r>
  <r>
    <x v="7"/>
    <n v="1"/>
    <n v="1"/>
    <n v="0"/>
    <x v="2"/>
    <n v="2"/>
    <s v="Wholesale and retail trade; repair of motor vehicles and motorcycles"/>
  </r>
  <r>
    <x v="7"/>
    <n v="1"/>
    <n v="0"/>
    <n v="1"/>
    <x v="1"/>
    <n v="0"/>
    <s v="Agriculture, forestry and fishing"/>
  </r>
  <r>
    <x v="7"/>
    <n v="1"/>
    <n v="1"/>
    <n v="0"/>
    <x v="2"/>
    <n v="3"/>
    <s v="Manufacturing"/>
  </r>
  <r>
    <x v="7"/>
    <n v="1"/>
    <n v="0"/>
    <n v="1"/>
    <x v="1"/>
    <n v="3"/>
    <s v="Human health and social work activities"/>
  </r>
  <r>
    <x v="7"/>
    <n v="1"/>
    <n v="0"/>
    <n v="1"/>
    <x v="1"/>
    <n v="3"/>
    <s v="Education"/>
  </r>
  <r>
    <x v="7"/>
    <n v="1"/>
    <n v="1"/>
    <n v="0"/>
    <x v="2"/>
    <n v="2"/>
    <s v="Administrative and support service activities"/>
  </r>
  <r>
    <x v="7"/>
    <n v="1"/>
    <n v="1"/>
    <n v="0"/>
    <x v="2"/>
    <n v="13"/>
    <s v="Water supply; sewerage, waste management and remediation activities"/>
  </r>
  <r>
    <x v="7"/>
    <n v="1"/>
    <n v="0"/>
    <n v="1"/>
    <x v="1"/>
    <n v="5"/>
    <s v="Agriculture, forestry and fishing"/>
  </r>
  <r>
    <x v="7"/>
    <n v="1"/>
    <n v="1"/>
    <n v="0"/>
    <x v="2"/>
    <n v="9"/>
    <s v="Education"/>
  </r>
  <r>
    <x v="7"/>
    <n v="1"/>
    <n v="0"/>
    <n v="1"/>
    <x v="1"/>
    <n v="0"/>
    <s v="Manufacturing"/>
  </r>
  <r>
    <x v="7"/>
    <n v="1"/>
    <n v="0"/>
    <n v="1"/>
    <x v="1"/>
    <n v="0"/>
    <s v="Professional, scientific and technical activities"/>
  </r>
  <r>
    <x v="7"/>
    <n v="1"/>
    <n v="0"/>
    <n v="1"/>
    <x v="1"/>
    <n v="1"/>
    <s v="Manufacturing"/>
  </r>
  <r>
    <x v="7"/>
    <n v="1"/>
    <n v="0"/>
    <n v="1"/>
    <x v="1"/>
    <n v="0"/>
    <s v="Education"/>
  </r>
  <r>
    <x v="7"/>
    <n v="1"/>
    <n v="0"/>
    <n v="1"/>
    <x v="1"/>
    <n v="0"/>
    <s v="Manufacturing"/>
  </r>
  <r>
    <x v="7"/>
    <n v="1"/>
    <n v="0"/>
    <n v="1"/>
    <x v="1"/>
    <n v="0"/>
    <s v="Arts, entertainment and recreation"/>
  </r>
  <r>
    <x v="7"/>
    <n v="1"/>
    <n v="1"/>
    <n v="0"/>
    <x v="2"/>
    <n v="11"/>
    <s v="Information and communication"/>
  </r>
  <r>
    <x v="7"/>
    <n v="1"/>
    <n v="0"/>
    <n v="1"/>
    <x v="1"/>
    <n v="3"/>
    <s v="Manufacturing"/>
  </r>
  <r>
    <x v="7"/>
    <n v="1"/>
    <n v="0"/>
    <n v="1"/>
    <x v="1"/>
    <n v="0"/>
    <s v="Manufacturing"/>
  </r>
  <r>
    <x v="7"/>
    <n v="1"/>
    <n v="1"/>
    <n v="0"/>
    <x v="2"/>
    <n v="0"/>
    <s v="Information and communication"/>
  </r>
  <r>
    <x v="7"/>
    <n v="1"/>
    <n v="1"/>
    <n v="0"/>
    <x v="2"/>
    <n v="0"/>
    <s v="Education"/>
  </r>
  <r>
    <x v="7"/>
    <n v="1"/>
    <n v="0"/>
    <n v="1"/>
    <x v="1"/>
    <n v="0"/>
    <s v="Water supply; sewerage, waste management and remediation activities"/>
  </r>
  <r>
    <x v="7"/>
    <n v="1"/>
    <n v="1"/>
    <n v="0"/>
    <x v="2"/>
    <n v="0"/>
    <s v="Manufacturing"/>
  </r>
  <r>
    <x v="7"/>
    <n v="1"/>
    <n v="0"/>
    <n v="1"/>
    <x v="1"/>
    <n v="0"/>
    <n v="0"/>
  </r>
  <r>
    <x v="7"/>
    <n v="1"/>
    <n v="0"/>
    <n v="1"/>
    <x v="1"/>
    <n v="0"/>
    <s v="Human health and social work activities"/>
  </r>
  <r>
    <x v="7"/>
    <n v="1"/>
    <n v="0"/>
    <n v="1"/>
    <x v="1"/>
    <n v="1"/>
    <s v="Manufacturing"/>
  </r>
  <r>
    <x v="7"/>
    <n v="1"/>
    <n v="1"/>
    <n v="0"/>
    <x v="2"/>
    <n v="0"/>
    <s v="Manufacturing"/>
  </r>
  <r>
    <x v="7"/>
    <n v="1"/>
    <n v="0"/>
    <n v="1"/>
    <x v="1"/>
    <n v="1"/>
    <s v="Education"/>
  </r>
  <r>
    <x v="7"/>
    <n v="1"/>
    <n v="0"/>
    <n v="1"/>
    <x v="1"/>
    <n v="0"/>
    <s v="Manufacturing"/>
  </r>
  <r>
    <x v="7"/>
    <n v="1"/>
    <n v="1"/>
    <n v="0"/>
    <x v="2"/>
    <n v="0"/>
    <s v="Professional, scientific and technical activities"/>
  </r>
  <r>
    <x v="7"/>
    <n v="1"/>
    <n v="1"/>
    <n v="0"/>
    <x v="2"/>
    <n v="0"/>
    <s v="Professional, scientific and technical activities"/>
  </r>
  <r>
    <x v="7"/>
    <n v="1"/>
    <n v="1"/>
    <n v="0"/>
    <x v="2"/>
    <n v="0"/>
    <s v="Professional, scientific and technical activities"/>
  </r>
  <r>
    <x v="7"/>
    <n v="1"/>
    <n v="1"/>
    <n v="0"/>
    <x v="2"/>
    <n v="0"/>
    <s v="Manufacturing"/>
  </r>
  <r>
    <x v="7"/>
    <n v="1"/>
    <n v="0"/>
    <n v="1"/>
    <x v="1"/>
    <n v="0"/>
    <n v="0"/>
  </r>
  <r>
    <x v="7"/>
    <n v="1"/>
    <n v="0"/>
    <n v="1"/>
    <x v="1"/>
    <n v="1"/>
    <n v="0"/>
  </r>
  <r>
    <x v="7"/>
    <n v="1"/>
    <n v="0"/>
    <n v="1"/>
    <x v="1"/>
    <n v="0"/>
    <s v="Education"/>
  </r>
  <r>
    <x v="7"/>
    <n v="1"/>
    <n v="1"/>
    <n v="0"/>
    <x v="2"/>
    <n v="0"/>
    <s v="Agriculture, forestry and fishing"/>
  </r>
  <r>
    <x v="7"/>
    <n v="1"/>
    <n v="0"/>
    <n v="1"/>
    <x v="1"/>
    <n v="0"/>
    <s v="Manufacturing"/>
  </r>
  <r>
    <x v="7"/>
    <n v="1"/>
    <n v="0"/>
    <n v="1"/>
    <x v="1"/>
    <n v="0"/>
    <s v="Education"/>
  </r>
  <r>
    <x v="7"/>
    <n v="1"/>
    <n v="0"/>
    <n v="1"/>
    <x v="1"/>
    <n v="0"/>
    <s v="Arts, entertainment and recreation"/>
  </r>
  <r>
    <x v="7"/>
    <n v="1"/>
    <n v="0"/>
    <n v="1"/>
    <x v="1"/>
    <n v="0"/>
    <s v="Human health and social work activities"/>
  </r>
  <r>
    <x v="7"/>
    <n v="1"/>
    <n v="0"/>
    <n v="1"/>
    <x v="1"/>
    <n v="0"/>
    <s v="Manufacturing"/>
  </r>
  <r>
    <x v="7"/>
    <n v="1"/>
    <n v="0"/>
    <n v="1"/>
    <x v="1"/>
    <n v="0"/>
    <s v="Human health and social work activities"/>
  </r>
  <r>
    <x v="7"/>
    <n v="1"/>
    <n v="0"/>
    <n v="1"/>
    <x v="1"/>
    <n v="0"/>
    <s v="Arts, entertainment and recreation"/>
  </r>
  <r>
    <x v="7"/>
    <n v="1"/>
    <n v="0"/>
    <n v="1"/>
    <x v="1"/>
    <n v="0"/>
    <s v="Manufacturing"/>
  </r>
  <r>
    <x v="7"/>
    <n v="1"/>
    <n v="0"/>
    <n v="1"/>
    <x v="1"/>
    <n v="0"/>
    <s v="Arts, entertainment and recreation"/>
  </r>
  <r>
    <x v="7"/>
    <n v="1"/>
    <n v="0"/>
    <n v="1"/>
    <x v="1"/>
    <n v="0"/>
    <s v="Manufacturing"/>
  </r>
  <r>
    <x v="7"/>
    <n v="1"/>
    <n v="0"/>
    <n v="1"/>
    <x v="1"/>
    <n v="0"/>
    <s v="Manufacturing"/>
  </r>
  <r>
    <x v="7"/>
    <n v="1"/>
    <n v="1"/>
    <n v="0"/>
    <x v="2"/>
    <n v="0"/>
    <s v="Financial and insurance activities"/>
  </r>
  <r>
    <x v="7"/>
    <n v="1"/>
    <n v="0"/>
    <n v="1"/>
    <x v="1"/>
    <n v="0"/>
    <s v="Arts, entertainment and recreation"/>
  </r>
  <r>
    <x v="7"/>
    <n v="1"/>
    <n v="1"/>
    <n v="0"/>
    <x v="2"/>
    <n v="0"/>
    <s v="Accommodation and food service activities"/>
  </r>
  <r>
    <x v="7"/>
    <n v="1"/>
    <n v="0"/>
    <n v="1"/>
    <x v="1"/>
    <n v="0"/>
    <s v="Manufacturing"/>
  </r>
  <r>
    <x v="7"/>
    <n v="1"/>
    <n v="1"/>
    <n v="0"/>
    <x v="2"/>
    <n v="0"/>
    <s v="Information and communication"/>
  </r>
  <r>
    <x v="7"/>
    <n v="1"/>
    <n v="0"/>
    <n v="1"/>
    <x v="1"/>
    <n v="0"/>
    <s v="Arts, entertainment and recreation"/>
  </r>
  <r>
    <x v="7"/>
    <n v="1"/>
    <n v="0"/>
    <n v="1"/>
    <x v="1"/>
    <n v="0"/>
    <s v="Education"/>
  </r>
  <r>
    <x v="8"/>
    <n v="1"/>
    <n v="1"/>
    <n v="0"/>
    <x v="2"/>
    <n v="0"/>
    <s v="Accommodation and food service activities"/>
  </r>
  <r>
    <x v="8"/>
    <n v="1"/>
    <n v="1"/>
    <n v="0"/>
    <x v="2"/>
    <n v="5"/>
    <s v="Arts, entertainment and recreation"/>
  </r>
  <r>
    <x v="8"/>
    <n v="1"/>
    <n v="0"/>
    <n v="1"/>
    <x v="1"/>
    <n v="4"/>
    <s v="Agriculture, forestry and fishing"/>
  </r>
  <r>
    <x v="8"/>
    <n v="1"/>
    <n v="0"/>
    <n v="1"/>
    <x v="1"/>
    <n v="4"/>
    <n v="0"/>
  </r>
  <r>
    <x v="8"/>
    <n v="1"/>
    <n v="1"/>
    <n v="0"/>
    <x v="2"/>
    <n v="1"/>
    <n v="0"/>
  </r>
  <r>
    <x v="8"/>
    <n v="1"/>
    <n v="1"/>
    <n v="0"/>
    <x v="2"/>
    <n v="6"/>
    <s v="Education"/>
  </r>
  <r>
    <x v="8"/>
    <n v="1"/>
    <n v="0"/>
    <n v="1"/>
    <x v="1"/>
    <n v="0"/>
    <s v="Arts, entertainment and recreation"/>
  </r>
  <r>
    <x v="8"/>
    <n v="1"/>
    <n v="0"/>
    <n v="1"/>
    <x v="1"/>
    <n v="3"/>
    <s v="Manufacturing"/>
  </r>
  <r>
    <x v="8"/>
    <n v="1"/>
    <n v="1"/>
    <n v="0"/>
    <x v="2"/>
    <n v="0"/>
    <s v="Arts, entertainment and recreation"/>
  </r>
  <r>
    <x v="8"/>
    <n v="1"/>
    <n v="0"/>
    <n v="1"/>
    <x v="1"/>
    <n v="0"/>
    <s v="Manufacturing"/>
  </r>
  <r>
    <x v="8"/>
    <n v="1"/>
    <n v="0"/>
    <n v="1"/>
    <x v="1"/>
    <n v="0"/>
    <s v="Arts, entertainment and recreation"/>
  </r>
  <r>
    <x v="8"/>
    <n v="1"/>
    <n v="0"/>
    <n v="1"/>
    <x v="1"/>
    <n v="2"/>
    <s v="Agriculture, forestry and fishing"/>
  </r>
  <r>
    <x v="8"/>
    <n v="1"/>
    <n v="0"/>
    <n v="1"/>
    <x v="1"/>
    <n v="0"/>
    <s v="Education"/>
  </r>
  <r>
    <x v="8"/>
    <n v="1"/>
    <n v="1"/>
    <n v="0"/>
    <x v="2"/>
    <n v="0"/>
    <s v="Manufacturing"/>
  </r>
  <r>
    <x v="8"/>
    <n v="1"/>
    <n v="1"/>
    <n v="0"/>
    <x v="2"/>
    <n v="0"/>
    <s v="Administrative and support service activities"/>
  </r>
  <r>
    <x v="9"/>
    <n v="1"/>
    <n v="1"/>
    <n v="0"/>
    <x v="2"/>
    <n v="0"/>
    <s v="Agriculture, forestry and fishing"/>
  </r>
  <r>
    <x v="10"/>
    <n v="1"/>
    <n v="0"/>
    <n v="1"/>
    <x v="1"/>
    <n v="0"/>
    <s v="Manufacturing"/>
  </r>
  <r>
    <x v="10"/>
    <n v="1"/>
    <n v="1"/>
    <n v="0"/>
    <x v="2"/>
    <n v="1"/>
    <s v="Information and communication"/>
  </r>
  <r>
    <x v="10"/>
    <n v="1"/>
    <n v="0"/>
    <n v="1"/>
    <x v="1"/>
    <n v="0"/>
    <s v="Agriculture, forestry and fishing"/>
  </r>
  <r>
    <x v="10"/>
    <n v="1"/>
    <n v="1"/>
    <n v="0"/>
    <x v="2"/>
    <n v="1"/>
    <s v="Transportation and storage"/>
  </r>
  <r>
    <x v="10"/>
    <n v="1"/>
    <n v="0"/>
    <n v="1"/>
    <x v="1"/>
    <n v="1"/>
    <s v="Agriculture, forestry and fishing"/>
  </r>
  <r>
    <x v="10"/>
    <n v="1"/>
    <n v="1"/>
    <n v="0"/>
    <x v="2"/>
    <n v="4"/>
    <s v="Professional, scientific and technical activities"/>
  </r>
  <r>
    <x v="10"/>
    <n v="1"/>
    <n v="1"/>
    <n v="0"/>
    <x v="2"/>
    <n v="1"/>
    <s v="Information and communication"/>
  </r>
  <r>
    <x v="10"/>
    <n v="1"/>
    <n v="0"/>
    <n v="1"/>
    <x v="1"/>
    <n v="1"/>
    <s v="Manufacturing"/>
  </r>
  <r>
    <x v="10"/>
    <n v="1"/>
    <n v="0"/>
    <n v="1"/>
    <x v="1"/>
    <n v="6"/>
    <s v="Professional, scientific and technical activities"/>
  </r>
  <r>
    <x v="10"/>
    <n v="1"/>
    <n v="0"/>
    <n v="1"/>
    <x v="1"/>
    <n v="1"/>
    <s v="Wholesale and retail trade; repair of motor vehicles and motorcycles"/>
  </r>
  <r>
    <x v="10"/>
    <n v="1"/>
    <n v="0"/>
    <n v="1"/>
    <x v="1"/>
    <n v="1"/>
    <s v="Agriculture, forestry and fishing"/>
  </r>
  <r>
    <x v="10"/>
    <n v="1"/>
    <n v="0"/>
    <n v="1"/>
    <x v="1"/>
    <n v="1"/>
    <s v="Manufacturing"/>
  </r>
  <r>
    <x v="10"/>
    <n v="1"/>
    <n v="0"/>
    <n v="1"/>
    <x v="1"/>
    <n v="0"/>
    <s v="Agriculture, forestry and fishing"/>
  </r>
  <r>
    <x v="10"/>
    <n v="1"/>
    <n v="0"/>
    <n v="1"/>
    <x v="1"/>
    <n v="0"/>
    <s v="Agriculture, forestry and fishing"/>
  </r>
  <r>
    <x v="10"/>
    <n v="1"/>
    <n v="0"/>
    <n v="1"/>
    <x v="1"/>
    <n v="1"/>
    <s v="Agriculture, forestry and fishing"/>
  </r>
  <r>
    <x v="10"/>
    <n v="1"/>
    <n v="0"/>
    <n v="1"/>
    <x v="1"/>
    <n v="14"/>
    <s v="Agriculture, forestry and fishing"/>
  </r>
  <r>
    <x v="10"/>
    <n v="1"/>
    <n v="0"/>
    <n v="1"/>
    <x v="1"/>
    <n v="7"/>
    <s v="Agriculture, forestry and fishing"/>
  </r>
  <r>
    <x v="10"/>
    <n v="1"/>
    <n v="0"/>
    <n v="1"/>
    <x v="1"/>
    <n v="0"/>
    <s v="Agriculture, forestry and fishing"/>
  </r>
  <r>
    <x v="10"/>
    <n v="1"/>
    <n v="0"/>
    <n v="1"/>
    <x v="1"/>
    <n v="0"/>
    <s v="Manufacturing"/>
  </r>
  <r>
    <x v="10"/>
    <n v="1"/>
    <n v="0"/>
    <n v="1"/>
    <x v="1"/>
    <n v="1"/>
    <s v="Human health and social work activities"/>
  </r>
  <r>
    <x v="10"/>
    <n v="1"/>
    <n v="0"/>
    <n v="1"/>
    <x v="1"/>
    <n v="0"/>
    <s v="Agriculture, forestry and fishing"/>
  </r>
  <r>
    <x v="10"/>
    <n v="1"/>
    <n v="0"/>
    <n v="1"/>
    <x v="1"/>
    <n v="0"/>
    <s v="Agriculture, forestry and fishing"/>
  </r>
  <r>
    <x v="10"/>
    <n v="1"/>
    <n v="1"/>
    <n v="0"/>
    <x v="2"/>
    <n v="0"/>
    <s v="Agriculture, forestry and fishing"/>
  </r>
  <r>
    <x v="10"/>
    <n v="1"/>
    <n v="1"/>
    <n v="0"/>
    <x v="2"/>
    <n v="1"/>
    <s v="Information and communication"/>
  </r>
  <r>
    <x v="10"/>
    <n v="1"/>
    <n v="0"/>
    <n v="1"/>
    <x v="1"/>
    <n v="1"/>
    <s v="Manufacturing"/>
  </r>
  <r>
    <x v="10"/>
    <n v="1"/>
    <n v="0"/>
    <n v="1"/>
    <x v="1"/>
    <n v="1"/>
    <n v="0"/>
  </r>
  <r>
    <x v="10"/>
    <n v="1"/>
    <n v="0"/>
    <n v="1"/>
    <x v="1"/>
    <n v="1"/>
    <s v="Education"/>
  </r>
  <r>
    <x v="10"/>
    <n v="1"/>
    <n v="0"/>
    <n v="1"/>
    <x v="1"/>
    <n v="1"/>
    <s v="Accommodation and food service activities"/>
  </r>
  <r>
    <x v="10"/>
    <n v="1"/>
    <n v="1"/>
    <n v="0"/>
    <x v="2"/>
    <n v="1"/>
    <s v="Education"/>
  </r>
  <r>
    <x v="10"/>
    <n v="1"/>
    <n v="0"/>
    <n v="1"/>
    <x v="1"/>
    <n v="0"/>
    <n v="0"/>
  </r>
  <r>
    <x v="10"/>
    <n v="1"/>
    <n v="0"/>
    <n v="1"/>
    <x v="1"/>
    <n v="0"/>
    <s v="Manufacturing"/>
  </r>
  <r>
    <x v="10"/>
    <n v="1"/>
    <n v="1"/>
    <n v="0"/>
    <x v="2"/>
    <n v="0"/>
    <s v="Agriculture, forestry and fishing"/>
  </r>
  <r>
    <x v="10"/>
    <n v="1"/>
    <n v="0"/>
    <n v="1"/>
    <x v="1"/>
    <n v="0"/>
    <s v="Agriculture, forestry and fishing"/>
  </r>
  <r>
    <x v="10"/>
    <n v="1"/>
    <n v="0"/>
    <n v="1"/>
    <x v="1"/>
    <n v="0"/>
    <s v="Accommodation and food service activities"/>
  </r>
  <r>
    <x v="10"/>
    <n v="1"/>
    <n v="0"/>
    <n v="1"/>
    <x v="1"/>
    <n v="0"/>
    <s v="Human health and social work activities"/>
  </r>
  <r>
    <x v="10"/>
    <n v="1"/>
    <n v="0"/>
    <n v="1"/>
    <x v="1"/>
    <n v="1"/>
    <s v="Manufacturing"/>
  </r>
  <r>
    <x v="10"/>
    <n v="1"/>
    <n v="0"/>
    <n v="1"/>
    <x v="1"/>
    <n v="0"/>
    <s v="Manufacturing"/>
  </r>
  <r>
    <x v="10"/>
    <n v="1"/>
    <n v="1"/>
    <n v="0"/>
    <x v="2"/>
    <n v="5"/>
    <s v="Agriculture, forestry and fishing"/>
  </r>
  <r>
    <x v="10"/>
    <n v="1"/>
    <n v="1"/>
    <n v="0"/>
    <x v="2"/>
    <n v="2"/>
    <s v="Administrative and support service activities"/>
  </r>
  <r>
    <x v="10"/>
    <n v="1"/>
    <n v="0"/>
    <n v="1"/>
    <x v="1"/>
    <n v="3"/>
    <s v="Manufacturing"/>
  </r>
  <r>
    <x v="10"/>
    <n v="1"/>
    <n v="0"/>
    <n v="1"/>
    <x v="1"/>
    <n v="3"/>
    <s v="Accommodation and food service activities"/>
  </r>
  <r>
    <x v="10"/>
    <n v="1"/>
    <n v="0"/>
    <n v="1"/>
    <x v="1"/>
    <n v="4"/>
    <s v="Agriculture, forestry and fishing"/>
  </r>
  <r>
    <x v="10"/>
    <n v="1"/>
    <n v="0"/>
    <n v="1"/>
    <x v="1"/>
    <n v="7"/>
    <s v="Agriculture, forestry and fishing"/>
  </r>
  <r>
    <x v="10"/>
    <n v="1"/>
    <n v="1"/>
    <n v="0"/>
    <x v="2"/>
    <n v="0"/>
    <s v="Administrative and support service activities"/>
  </r>
  <r>
    <x v="10"/>
    <n v="1"/>
    <n v="1"/>
    <n v="0"/>
    <x v="2"/>
    <n v="0"/>
    <s v="Manufacturing"/>
  </r>
  <r>
    <x v="10"/>
    <n v="1"/>
    <n v="0"/>
    <n v="1"/>
    <x v="1"/>
    <n v="0"/>
    <s v="Manufacturing"/>
  </r>
  <r>
    <x v="10"/>
    <n v="1"/>
    <n v="0"/>
    <n v="1"/>
    <x v="1"/>
    <n v="0"/>
    <s v="Manufacturing"/>
  </r>
  <r>
    <x v="10"/>
    <n v="1"/>
    <n v="0"/>
    <n v="1"/>
    <x v="1"/>
    <n v="4"/>
    <s v="Agriculture, forestry and fishing"/>
  </r>
  <r>
    <x v="10"/>
    <n v="1"/>
    <n v="0"/>
    <n v="1"/>
    <x v="1"/>
    <n v="0"/>
    <s v="Manufacturing"/>
  </r>
  <r>
    <x v="10"/>
    <n v="1"/>
    <n v="0"/>
    <n v="1"/>
    <x v="1"/>
    <n v="0"/>
    <s v="Manufacturing"/>
  </r>
  <r>
    <x v="10"/>
    <n v="1"/>
    <n v="0"/>
    <n v="1"/>
    <x v="1"/>
    <n v="0"/>
    <s v="Manufacturing"/>
  </r>
  <r>
    <x v="10"/>
    <n v="1"/>
    <n v="0"/>
    <n v="1"/>
    <x v="1"/>
    <n v="0"/>
    <s v="Manufacturing"/>
  </r>
  <r>
    <x v="10"/>
    <n v="1"/>
    <n v="0"/>
    <n v="1"/>
    <x v="1"/>
    <n v="0"/>
    <s v="Arts, entertainment and recreation"/>
  </r>
  <r>
    <x v="10"/>
    <n v="1"/>
    <n v="0"/>
    <n v="1"/>
    <x v="1"/>
    <n v="0"/>
    <s v="Professional, scientific and technical activities"/>
  </r>
  <r>
    <x v="10"/>
    <n v="1"/>
    <n v="0"/>
    <n v="1"/>
    <x v="1"/>
    <n v="0"/>
    <s v="Human health and social work activities"/>
  </r>
  <r>
    <x v="10"/>
    <n v="1"/>
    <n v="1"/>
    <n v="0"/>
    <x v="2"/>
    <n v="0"/>
    <s v="Agriculture, forestry and fishing"/>
  </r>
  <r>
    <x v="10"/>
    <n v="1"/>
    <n v="1"/>
    <n v="0"/>
    <x v="2"/>
    <n v="0"/>
    <s v="Agriculture, forestry and fishing"/>
  </r>
  <r>
    <x v="10"/>
    <n v="1"/>
    <n v="0"/>
    <n v="1"/>
    <x v="1"/>
    <n v="0"/>
    <s v="Manufacturing"/>
  </r>
  <r>
    <x v="10"/>
    <n v="1"/>
    <n v="0"/>
    <n v="1"/>
    <x v="1"/>
    <n v="0"/>
    <s v="Manufacturing"/>
  </r>
  <r>
    <x v="10"/>
    <n v="1"/>
    <n v="0"/>
    <n v="1"/>
    <x v="1"/>
    <n v="1"/>
    <s v="Agriculture, forestry and fishing"/>
  </r>
  <r>
    <x v="10"/>
    <n v="1"/>
    <n v="0"/>
    <n v="1"/>
    <x v="1"/>
    <n v="0"/>
    <s v="Manufacturing"/>
  </r>
  <r>
    <x v="10"/>
    <n v="1"/>
    <n v="0"/>
    <n v="1"/>
    <x v="1"/>
    <n v="0"/>
    <s v="Human health and social work activities"/>
  </r>
  <r>
    <x v="10"/>
    <n v="1"/>
    <n v="0"/>
    <n v="1"/>
    <x v="1"/>
    <n v="0"/>
    <s v="Agriculture, forestry and fishing"/>
  </r>
  <r>
    <x v="10"/>
    <n v="1"/>
    <n v="0"/>
    <n v="1"/>
    <x v="1"/>
    <n v="0"/>
    <s v="Manufacturing"/>
  </r>
  <r>
    <x v="10"/>
    <n v="1"/>
    <n v="0"/>
    <n v="1"/>
    <x v="1"/>
    <n v="0"/>
    <s v="Manufacturing"/>
  </r>
  <r>
    <x v="10"/>
    <n v="1"/>
    <n v="0"/>
    <n v="1"/>
    <x v="1"/>
    <n v="0"/>
    <s v="Manufacturing"/>
  </r>
  <r>
    <x v="10"/>
    <n v="1"/>
    <n v="0"/>
    <n v="1"/>
    <x v="1"/>
    <n v="0"/>
    <s v="Human health and social work activities"/>
  </r>
  <r>
    <x v="10"/>
    <n v="1"/>
    <n v="0"/>
    <n v="1"/>
    <x v="1"/>
    <n v="0"/>
    <s v="Manufacturing"/>
  </r>
  <r>
    <x v="10"/>
    <n v="1"/>
    <n v="0"/>
    <n v="1"/>
    <x v="1"/>
    <n v="0"/>
    <s v="Agriculture, forestry and fishing"/>
  </r>
  <r>
    <x v="10"/>
    <n v="1"/>
    <n v="1"/>
    <n v="0"/>
    <x v="2"/>
    <n v="0"/>
    <s v="Information and communication"/>
  </r>
  <r>
    <x v="10"/>
    <n v="1"/>
    <n v="1"/>
    <n v="0"/>
    <x v="2"/>
    <n v="0"/>
    <s v="Accommodation and food service activities"/>
  </r>
  <r>
    <x v="10"/>
    <n v="1"/>
    <n v="0"/>
    <n v="1"/>
    <x v="1"/>
    <n v="0"/>
    <s v="Accommodation and food service activities"/>
  </r>
  <r>
    <x v="10"/>
    <n v="1"/>
    <n v="0"/>
    <n v="1"/>
    <x v="1"/>
    <n v="0"/>
    <s v="Agriculture, forestry and fishing"/>
  </r>
  <r>
    <x v="10"/>
    <n v="1"/>
    <n v="0"/>
    <n v="1"/>
    <x v="1"/>
    <n v="0"/>
    <s v="Information and communication"/>
  </r>
  <r>
    <x v="10"/>
    <n v="1"/>
    <n v="0"/>
    <n v="1"/>
    <x v="1"/>
    <n v="0"/>
    <s v="Information and communication"/>
  </r>
  <r>
    <x v="10"/>
    <n v="1"/>
    <n v="0"/>
    <n v="1"/>
    <x v="1"/>
    <n v="0"/>
    <s v="Administrative and support service activities"/>
  </r>
  <r>
    <x v="10"/>
    <n v="1"/>
    <n v="0"/>
    <n v="1"/>
    <x v="1"/>
    <n v="0"/>
    <s v="Information and communication"/>
  </r>
  <r>
    <x v="10"/>
    <n v="1"/>
    <n v="0"/>
    <n v="1"/>
    <x v="1"/>
    <n v="0"/>
    <s v="Information and communication"/>
  </r>
  <r>
    <x v="10"/>
    <n v="1"/>
    <n v="0"/>
    <n v="1"/>
    <x v="1"/>
    <n v="0"/>
    <s v="Human health and social work activities"/>
  </r>
  <r>
    <x v="10"/>
    <n v="1"/>
    <n v="0"/>
    <n v="1"/>
    <x v="1"/>
    <n v="15"/>
    <s v="Manufacturing"/>
  </r>
  <r>
    <x v="10"/>
    <n v="1"/>
    <n v="0"/>
    <n v="1"/>
    <x v="1"/>
    <n v="0"/>
    <s v="Arts, entertainment and recreation"/>
  </r>
  <r>
    <x v="10"/>
    <n v="1"/>
    <n v="0"/>
    <n v="1"/>
    <x v="1"/>
    <n v="0"/>
    <s v="Human health and social work activities"/>
  </r>
  <r>
    <x v="10"/>
    <n v="1"/>
    <n v="0"/>
    <n v="1"/>
    <x v="1"/>
    <n v="0"/>
    <s v="Arts, entertainment and recreation"/>
  </r>
  <r>
    <x v="10"/>
    <n v="1"/>
    <n v="0"/>
    <n v="1"/>
    <x v="1"/>
    <n v="0"/>
    <s v="Manufacturing"/>
  </r>
  <r>
    <x v="10"/>
    <n v="1"/>
    <n v="0"/>
    <n v="1"/>
    <x v="1"/>
    <n v="0"/>
    <s v="Arts, entertainment and recreation"/>
  </r>
  <r>
    <x v="10"/>
    <n v="1"/>
    <n v="0"/>
    <n v="1"/>
    <x v="1"/>
    <n v="0"/>
    <s v="Arts, entertainment and recreation"/>
  </r>
  <r>
    <x v="10"/>
    <n v="1"/>
    <n v="0"/>
    <n v="1"/>
    <x v="1"/>
    <n v="0"/>
    <s v="Manufacturing"/>
  </r>
  <r>
    <x v="10"/>
    <n v="1"/>
    <n v="0"/>
    <n v="1"/>
    <x v="1"/>
    <n v="0"/>
    <s v="Agriculture, forestry and fishing"/>
  </r>
  <r>
    <x v="10"/>
    <n v="1"/>
    <n v="0"/>
    <n v="1"/>
    <x v="1"/>
    <n v="0"/>
    <n v="0"/>
  </r>
  <r>
    <x v="10"/>
    <n v="1"/>
    <n v="0"/>
    <n v="1"/>
    <x v="1"/>
    <n v="0"/>
    <s v="Arts, entertainment and recreation"/>
  </r>
  <r>
    <x v="10"/>
    <n v="1"/>
    <n v="0"/>
    <n v="1"/>
    <x v="1"/>
    <n v="0"/>
    <s v="Arts, entertainment and recreation"/>
  </r>
  <r>
    <x v="10"/>
    <n v="1"/>
    <n v="0"/>
    <n v="1"/>
    <x v="1"/>
    <n v="0"/>
    <s v="Manufacturing"/>
  </r>
  <r>
    <x v="10"/>
    <n v="1"/>
    <n v="1"/>
    <n v="0"/>
    <x v="2"/>
    <n v="0"/>
    <s v="Manufacturing"/>
  </r>
  <r>
    <x v="10"/>
    <n v="1"/>
    <n v="1"/>
    <n v="0"/>
    <x v="2"/>
    <n v="0"/>
    <s v="Manufacturing"/>
  </r>
  <r>
    <x v="10"/>
    <n v="1"/>
    <n v="1"/>
    <n v="0"/>
    <x v="2"/>
    <n v="0"/>
    <s v="Manufacturing"/>
  </r>
  <r>
    <x v="10"/>
    <n v="1"/>
    <n v="0"/>
    <n v="1"/>
    <x v="1"/>
    <n v="0"/>
    <s v="Manufacturing"/>
  </r>
  <r>
    <x v="10"/>
    <n v="1"/>
    <n v="0"/>
    <n v="1"/>
    <x v="1"/>
    <n v="0"/>
    <s v="Manufacturing"/>
  </r>
  <r>
    <x v="10"/>
    <n v="1"/>
    <n v="0"/>
    <n v="1"/>
    <x v="1"/>
    <n v="0"/>
    <s v="Wholesale and retail trade; repair of motor vehicles and motorcycles"/>
  </r>
  <r>
    <x v="10"/>
    <n v="1"/>
    <n v="1"/>
    <n v="0"/>
    <x v="2"/>
    <n v="0"/>
    <s v="Professional, scientific and technical activities"/>
  </r>
  <r>
    <x v="10"/>
    <n v="1"/>
    <n v="0"/>
    <n v="1"/>
    <x v="1"/>
    <n v="0"/>
    <s v="Agriculture, forestry and fishing"/>
  </r>
  <r>
    <x v="10"/>
    <n v="1"/>
    <n v="0"/>
    <n v="1"/>
    <x v="1"/>
    <n v="0"/>
    <s v="Transportation and storage"/>
  </r>
  <r>
    <x v="10"/>
    <n v="1"/>
    <n v="0"/>
    <n v="1"/>
    <x v="1"/>
    <n v="0"/>
    <s v="Human health and social work activities"/>
  </r>
  <r>
    <x v="10"/>
    <n v="1"/>
    <n v="0"/>
    <n v="1"/>
    <x v="1"/>
    <n v="0"/>
    <s v="Agriculture, forestry and fishing"/>
  </r>
  <r>
    <x v="10"/>
    <n v="1"/>
    <n v="1"/>
    <n v="0"/>
    <x v="2"/>
    <n v="0"/>
    <s v="Education"/>
  </r>
  <r>
    <x v="10"/>
    <n v="1"/>
    <n v="1"/>
    <n v="0"/>
    <x v="2"/>
    <n v="0"/>
    <s v="Agriculture, forestry and fishing"/>
  </r>
  <r>
    <x v="10"/>
    <n v="1"/>
    <n v="0"/>
    <n v="1"/>
    <x v="1"/>
    <n v="0"/>
    <s v="Arts, entertainment and recreation"/>
  </r>
  <r>
    <x v="10"/>
    <n v="1"/>
    <n v="0"/>
    <n v="1"/>
    <x v="1"/>
    <n v="0"/>
    <n v="0"/>
  </r>
  <r>
    <x v="10"/>
    <n v="1"/>
    <n v="0"/>
    <n v="1"/>
    <x v="1"/>
    <n v="0"/>
    <s v="Agriculture, forestry and fishing"/>
  </r>
  <r>
    <x v="10"/>
    <n v="1"/>
    <n v="0"/>
    <n v="1"/>
    <x v="1"/>
    <n v="0"/>
    <s v="Human health and social work activities"/>
  </r>
  <r>
    <x v="10"/>
    <n v="1"/>
    <n v="1"/>
    <n v="0"/>
    <x v="2"/>
    <n v="0"/>
    <s v="Human health and social work activities"/>
  </r>
  <r>
    <x v="10"/>
    <n v="1"/>
    <n v="1"/>
    <n v="0"/>
    <x v="2"/>
    <n v="0"/>
    <s v="Arts, entertainment and recreation"/>
  </r>
  <r>
    <x v="10"/>
    <n v="1"/>
    <n v="0"/>
    <n v="1"/>
    <x v="1"/>
    <n v="0"/>
    <s v="Arts, entertainment and recreation"/>
  </r>
  <r>
    <x v="10"/>
    <n v="1"/>
    <n v="0"/>
    <n v="1"/>
    <x v="1"/>
    <n v="0"/>
    <s v="Manufacturing"/>
  </r>
  <r>
    <x v="10"/>
    <n v="1"/>
    <n v="1"/>
    <n v="0"/>
    <x v="2"/>
    <n v="0"/>
    <s v="Human health and social work activities"/>
  </r>
  <r>
    <x v="10"/>
    <n v="1"/>
    <n v="0"/>
    <n v="1"/>
    <x v="1"/>
    <n v="0"/>
    <s v="Professional, scientific and technical activities"/>
  </r>
  <r>
    <x v="10"/>
    <n v="1"/>
    <n v="0"/>
    <n v="1"/>
    <x v="1"/>
    <n v="0"/>
    <s v="Manufacturing"/>
  </r>
  <r>
    <x v="10"/>
    <n v="1"/>
    <n v="0"/>
    <n v="1"/>
    <x v="1"/>
    <n v="0"/>
    <s v="Arts, entertainment and recreation"/>
  </r>
  <r>
    <x v="10"/>
    <n v="1"/>
    <n v="0"/>
    <n v="1"/>
    <x v="1"/>
    <n v="0"/>
    <s v="Human health and social work activities"/>
  </r>
  <r>
    <x v="10"/>
    <n v="1"/>
    <n v="0"/>
    <n v="1"/>
    <x v="1"/>
    <n v="0"/>
    <s v="Professional, scientific and technical activities"/>
  </r>
  <r>
    <x v="10"/>
    <n v="1"/>
    <n v="0"/>
    <n v="1"/>
    <x v="1"/>
    <n v="0"/>
    <s v="Manufacturing"/>
  </r>
  <r>
    <x v="10"/>
    <n v="1"/>
    <n v="0"/>
    <n v="1"/>
    <x v="1"/>
    <n v="0"/>
    <s v="Arts, entertainment and recreation"/>
  </r>
  <r>
    <x v="10"/>
    <n v="1"/>
    <n v="0"/>
    <n v="1"/>
    <x v="1"/>
    <n v="0"/>
    <s v="Education"/>
  </r>
  <r>
    <x v="10"/>
    <n v="1"/>
    <n v="1"/>
    <n v="0"/>
    <x v="2"/>
    <n v="0"/>
    <s v="Manufacturing"/>
  </r>
  <r>
    <x v="10"/>
    <n v="1"/>
    <n v="1"/>
    <n v="0"/>
    <x v="2"/>
    <n v="0"/>
    <s v="Arts, entertainment and recreation"/>
  </r>
  <r>
    <x v="10"/>
    <n v="1"/>
    <n v="0"/>
    <n v="1"/>
    <x v="1"/>
    <n v="0"/>
    <s v="Electricity, gas, steam and air conditioning supply"/>
  </r>
  <r>
    <x v="11"/>
    <n v="1"/>
    <n v="0"/>
    <n v="1"/>
    <x v="1"/>
    <n v="0"/>
    <s v="Arts, entertainment and recreation"/>
  </r>
  <r>
    <x v="11"/>
    <n v="1"/>
    <n v="0"/>
    <n v="1"/>
    <x v="1"/>
    <n v="0"/>
    <s v="Arts, entertainment and recreation"/>
  </r>
  <r>
    <x v="11"/>
    <n v="1"/>
    <n v="0"/>
    <n v="1"/>
    <x v="1"/>
    <n v="1"/>
    <s v="Manufacturing"/>
  </r>
  <r>
    <x v="11"/>
    <n v="1"/>
    <n v="0"/>
    <n v="1"/>
    <x v="1"/>
    <n v="1"/>
    <s v="Manufacturing"/>
  </r>
  <r>
    <x v="11"/>
    <n v="1"/>
    <n v="0"/>
    <n v="1"/>
    <x v="1"/>
    <n v="0"/>
    <s v="Manufacturing"/>
  </r>
  <r>
    <x v="11"/>
    <n v="1"/>
    <n v="0"/>
    <n v="1"/>
    <x v="1"/>
    <n v="2"/>
    <s v="Arts, entertainment and recreation"/>
  </r>
  <r>
    <x v="11"/>
    <n v="1"/>
    <n v="0"/>
    <n v="1"/>
    <x v="1"/>
    <n v="0"/>
    <s v="Manufacturing"/>
  </r>
  <r>
    <x v="11"/>
    <n v="1"/>
    <n v="0"/>
    <n v="1"/>
    <x v="1"/>
    <n v="1"/>
    <s v="Manufacturing"/>
  </r>
  <r>
    <x v="11"/>
    <n v="1"/>
    <n v="1"/>
    <n v="0"/>
    <x v="2"/>
    <n v="8"/>
    <s v="Construction"/>
  </r>
  <r>
    <x v="11"/>
    <n v="1"/>
    <n v="1"/>
    <n v="0"/>
    <x v="2"/>
    <n v="6"/>
    <s v="Manufacturing"/>
  </r>
  <r>
    <x v="11"/>
    <n v="1"/>
    <n v="1"/>
    <n v="0"/>
    <x v="2"/>
    <n v="2"/>
    <s v="Accommodation and food service activities"/>
  </r>
  <r>
    <x v="11"/>
    <n v="1"/>
    <n v="1"/>
    <n v="0"/>
    <x v="2"/>
    <n v="2"/>
    <s v="Manufacturing"/>
  </r>
  <r>
    <x v="11"/>
    <n v="1"/>
    <n v="1"/>
    <n v="0"/>
    <x v="2"/>
    <n v="3"/>
    <s v="Manufacturing"/>
  </r>
  <r>
    <x v="11"/>
    <n v="1"/>
    <n v="0"/>
    <n v="1"/>
    <x v="1"/>
    <n v="0"/>
    <s v="Manufacturing"/>
  </r>
  <r>
    <x v="11"/>
    <n v="1"/>
    <n v="1"/>
    <n v="0"/>
    <x v="2"/>
    <n v="0"/>
    <s v="Human health and social work activities"/>
  </r>
  <r>
    <x v="11"/>
    <n v="1"/>
    <n v="1"/>
    <n v="0"/>
    <x v="2"/>
    <n v="1"/>
    <s v="Arts, entertainment and recreation"/>
  </r>
  <r>
    <x v="11"/>
    <n v="1"/>
    <n v="1"/>
    <n v="0"/>
    <x v="2"/>
    <n v="2"/>
    <s v="Accommodation and food service activities"/>
  </r>
  <r>
    <x v="11"/>
    <n v="1"/>
    <n v="1"/>
    <n v="0"/>
    <x v="2"/>
    <n v="0"/>
    <s v="Accommodation and food service activities"/>
  </r>
  <r>
    <x v="11"/>
    <n v="1"/>
    <n v="1"/>
    <n v="0"/>
    <x v="2"/>
    <n v="0"/>
    <s v="Human health and social work activities"/>
  </r>
  <r>
    <x v="12"/>
    <n v="1"/>
    <n v="1"/>
    <n v="0"/>
    <x v="2"/>
    <n v="0"/>
    <s v="Agriculture, forestry and fishing"/>
  </r>
  <r>
    <x v="12"/>
    <n v="1"/>
    <n v="1"/>
    <n v="0"/>
    <x v="2"/>
    <n v="0"/>
    <s v="Transportation and storage"/>
  </r>
  <r>
    <x v="12"/>
    <n v="1"/>
    <n v="1"/>
    <n v="0"/>
    <x v="2"/>
    <n v="0"/>
    <s v="Manufacturing"/>
  </r>
  <r>
    <x v="12"/>
    <n v="1"/>
    <n v="0"/>
    <n v="1"/>
    <x v="1"/>
    <n v="0"/>
    <s v="Human health and social work activities"/>
  </r>
  <r>
    <x v="12"/>
    <n v="1"/>
    <n v="0"/>
    <n v="1"/>
    <x v="1"/>
    <n v="0"/>
    <s v="Manufactur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12240-BCEC-45F7-8E4C-8D6845366E4E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M19" firstHeaderRow="1" firstDataRow="2" firstDataCol="1"/>
  <pivotFields count="7">
    <pivotField axis="axisRow" dataField="1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t="default"/>
      </items>
    </pivotField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Governor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8225D-34A3-4BFB-8DC5-EEF5983C3E6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">
    <pivotField axis="axisRow" dataField="1" showAll="0">
      <items count="16">
        <item x="2"/>
        <item x="3"/>
        <item x="4"/>
        <item x="5"/>
        <item h="1" x="1"/>
        <item x="6"/>
        <item x="7"/>
        <item x="8"/>
        <item x="9"/>
        <item x="10"/>
        <item x="11"/>
        <item x="12"/>
        <item h="1" x="14"/>
        <item x="13"/>
        <item h="1" x="0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 t="grand">
      <x/>
    </i>
  </rowItems>
  <colItems count="1">
    <i/>
  </colItems>
  <dataFields count="1">
    <dataField name="Count of E4ED Startup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6B4DB-AA35-4C3C-957B-089F16AB3BF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E23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6">
        <item x="2"/>
        <item m="1" x="4"/>
        <item x="0"/>
        <item x="3"/>
        <item x="1"/>
        <item t="default"/>
      </items>
    </pivotField>
    <pivotField axis="axisCol" dataField="1" showAll="0">
      <items count="4">
        <item x="2"/>
        <item x="1"/>
        <item x="0"/>
        <item t="default"/>
      </items>
    </pivotField>
    <pivotField showAll="0"/>
    <pivotField axis="axisRow" showAll="0">
      <items count="6">
        <item x="3"/>
        <item x="2"/>
        <item x="0"/>
        <item x="1"/>
        <item m="1" x="4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Event registration status" fld="10" subtotal="count" baseField="0" baseItem="0"/>
  </dataFields>
  <formats count="18"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10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9" type="button" dataOnly="0" labelOnly="1" outline="0"/>
    </format>
    <format dxfId="25">
      <pivotArea dataOnly="0" labelOnly="1" grandRow="1" outline="0" fieldPosition="0"/>
    </format>
    <format dxfId="24">
      <pivotArea dataOnly="0" labelOnly="1" fieldPosition="0">
        <references count="1">
          <reference field="10" count="0"/>
        </references>
      </pivotArea>
    </format>
    <format dxfId="23">
      <pivotArea dataOnly="0" labelOnly="1" grandCol="1" outline="0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field="10" type="button" dataOnly="0" labelOnly="1" outline="0" axis="axisCol" fieldPosition="0"/>
    </format>
    <format dxfId="18">
      <pivotArea type="topRight" dataOnly="0" labelOnly="1" outline="0" fieldPosition="0"/>
    </format>
    <format dxfId="17">
      <pivotArea field="9" type="button" dataOnly="0" labelOnly="1" outline="0"/>
    </format>
    <format dxfId="16">
      <pivotArea dataOnly="0" labelOnly="1" grandRow="1" outline="0" fieldPosition="0"/>
    </format>
    <format dxfId="15">
      <pivotArea dataOnly="0" labelOnly="1" fieldPosition="0">
        <references count="1">
          <reference field="10" count="0"/>
        </references>
      </pivotArea>
    </format>
    <format dxfId="1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B205E-4E12-4556-B17C-9EC144A3B76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E31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6">
        <item x="2"/>
        <item m="1" x="4"/>
        <item x="0"/>
        <item x="3"/>
        <item x="1"/>
        <item t="default"/>
      </items>
    </pivotField>
    <pivotField axis="axisCol" dataField="1" showAll="0">
      <items count="4">
        <item x="2"/>
        <item x="1"/>
        <item x="0"/>
        <item t="default"/>
      </items>
    </pivotField>
    <pivotField showAll="0"/>
    <pivotField axis="axisRow" showAll="0">
      <items count="6">
        <item x="3"/>
        <item x="2"/>
        <item x="0"/>
        <item x="1"/>
        <item m="1" x="4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Event registration status" fld="10" subtotal="count" baseField="0" baseItem="0"/>
  </dataFields>
  <formats count="18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10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9" type="button" dataOnly="0" labelOnly="1" outline="0"/>
    </format>
    <format dxfId="43">
      <pivotArea dataOnly="0" labelOnly="1" grandRow="1" outline="0" fieldPosition="0"/>
    </format>
    <format dxfId="42">
      <pivotArea dataOnly="0" labelOnly="1" fieldPosition="0">
        <references count="1">
          <reference field="10" count="0"/>
        </references>
      </pivotArea>
    </format>
    <format dxfId="41">
      <pivotArea dataOnly="0" labelOnly="1" grandCol="1" outline="0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type="origin" dataOnly="0" labelOnly="1" outline="0" fieldPosition="0"/>
    </format>
    <format dxfId="37">
      <pivotArea field="10" type="button" dataOnly="0" labelOnly="1" outline="0" axis="axisCol" fieldPosition="0"/>
    </format>
    <format dxfId="36">
      <pivotArea type="topRight" dataOnly="0" labelOnly="1" outline="0" fieldPosition="0"/>
    </format>
    <format dxfId="35">
      <pivotArea field="9" type="button" dataOnly="0" labelOnly="1" outline="0"/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0" count="0"/>
        </references>
      </pivotArea>
    </format>
    <format dxfId="3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C40755-BCCB-4BA0-86A4-40A5E672FA3C}" name="Table13" displayName="Table13" ref="B4:E670" totalsRowShown="0" headerRowDxfId="72" dataDxfId="70" headerRowBorderDxfId="71" tableBorderDxfId="69" totalsRowBorderDxfId="68">
  <autoFilter ref="B4:E670" xr:uid="{0B6FE743-7B64-4AAC-BF0E-30F255296C32}"/>
  <sortState xmlns:xlrd2="http://schemas.microsoft.com/office/spreadsheetml/2017/richdata2" ref="B5:E670">
    <sortCondition ref="C4:C670"/>
  </sortState>
  <tableColumns count="4">
    <tableColumn id="6" xr3:uid="{E2D40F1C-24EC-417F-8AD7-10DAAE2E7BB9}" name="Women-led" dataDxfId="67"/>
    <tableColumn id="8" xr3:uid="{D1A921EA-4AC8-4CC1-8230-0DEA24845009}" name="Governorate" dataDxfId="66"/>
    <tableColumn id="16" xr3:uid="{302DBCB3-7378-44E0-8B64-8B1D49474EA9}" name="Economic Sector" dataDxfId="65"/>
    <tableColumn id="4" xr3:uid="{612C1180-C7E9-4310-9A90-D125C931D59E}" name="Staff Delta" dataDxfId="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6ACC24-805B-4316-B988-CCAC866936CF}" name="MapMaster2026" displayName="MapMaster2026" ref="A1:L390" totalsRowShown="0" headerRowDxfId="63" dataDxfId="62">
  <autoFilter ref="A1:L390" xr:uid="{00000000-0009-0000-0100-000001000000}"/>
  <tableColumns count="12">
    <tableColumn id="3" xr3:uid="{00000000-0010-0000-0000-000003000000}" name="E4DE code" dataDxfId="61"/>
    <tableColumn id="1" xr3:uid="{0FB6E675-21A2-490B-ADA6-0517B4F8E70C}" name="Activity" dataDxfId="60"/>
    <tableColumn id="4" xr3:uid="{00000000-0010-0000-0000-000004000000}" name="Startup name" dataDxfId="59"/>
    <tableColumn id="5" xr3:uid="{00000000-0010-0000-0000-000005000000}" name="Governorate" dataDxfId="58"/>
    <tableColumn id="6" xr3:uid="{00000000-0010-0000-0000-000006000000}" name="Programme stage" dataDxfId="57"/>
    <tableColumn id="8" xr3:uid="{00000000-0010-0000-0000-000008000000}" name="Economic sector" dataDxfId="56"/>
    <tableColumn id="9" xr3:uid="{00000000-0010-0000-0000-000009000000}" name="Participant gender" dataDxfId="55"/>
    <tableColumn id="10" xr3:uid="{00000000-0010-0000-0000-00000A000000}" name="Participant age b-" dataDxfId="54"/>
    <tableColumn id="11" xr3:uid="{00000000-0010-0000-0000-00000B000000}" name="Nationality" dataDxfId="53"/>
    <tableColumn id="26" xr3:uid="{00000000-0010-0000-0000-00001A000000}" name="ICON status" dataDxfId="52"/>
    <tableColumn id="2" xr3:uid="{A02E0A46-D2FF-4188-8C3D-82155D68821E}" name="Event registration status" dataDxfId="51" dataCellStyle="Normal 2"/>
    <tableColumn id="13" xr3:uid="{EE735446-F8AC-4680-8BA1-197282299D72}" name="Registration matching note" dataDxfId="5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11" dT="2026-10-04T09:48:08.60" personId="{B5EC067D-9302-472C-83D3-5ED3C0CC1715}" id="{F995505B-96CD-4220-AC05-1D9B1A2C297A}">
    <text>@Cooper, Marzban GIZ JO  to be invited</text>
    <mentions>
      <mention mentionpersonId="{2BDB56F9-A439-455B-A466-7DFFA2A7A4AB}" mentionId="{3EA438A0-CC47-408C-92A8-373FA60AF0D1}" startIndex="0" length="23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bayanryati@gmail.com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mailto:shaker.alzayadneh@rental-jo.com" TargetMode="External"/><Relationship Id="rId7" Type="http://schemas.openxmlformats.org/officeDocument/2006/relationships/hyperlink" Target="mailto:butter.dough.bakery.aqaba@gmail.com" TargetMode="External"/><Relationship Id="rId12" Type="http://schemas.openxmlformats.org/officeDocument/2006/relationships/hyperlink" Target="mailto:leensabti@lagunavco.com" TargetMode="External"/><Relationship Id="rId2" Type="http://schemas.openxmlformats.org/officeDocument/2006/relationships/hyperlink" Target="mailto:aia@solvillion.com" TargetMode="External"/><Relationship Id="rId1" Type="http://schemas.openxmlformats.org/officeDocument/2006/relationships/hyperlink" Target="mailto:saqer.maryha@gmail.com" TargetMode="External"/><Relationship Id="rId6" Type="http://schemas.openxmlformats.org/officeDocument/2006/relationships/hyperlink" Target="mailto:abd.hersh@gmail.com" TargetMode="External"/><Relationship Id="rId11" Type="http://schemas.openxmlformats.org/officeDocument/2006/relationships/hyperlink" Target="mailto:mustafaalshdaifat@yahoo.com" TargetMode="External"/><Relationship Id="rId5" Type="http://schemas.openxmlformats.org/officeDocument/2006/relationships/hyperlink" Target="mailto:naghamabuafifeh@yahoo.com" TargetMode="External"/><Relationship Id="rId15" Type="http://schemas.microsoft.com/office/2017/10/relationships/threadedComment" Target="../threadedComments/threadedComment1.xml"/><Relationship Id="rId10" Type="http://schemas.openxmlformats.org/officeDocument/2006/relationships/hyperlink" Target="mailto:mustafa@aqabawi.com" TargetMode="External"/><Relationship Id="rId4" Type="http://schemas.openxmlformats.org/officeDocument/2006/relationships/hyperlink" Target="mailto:info@sg-agritech.com" TargetMode="External"/><Relationship Id="rId9" Type="http://schemas.openxmlformats.org/officeDocument/2006/relationships/hyperlink" Target="mailto:manarmoulkhy@gmail.com" TargetMode="External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9FC5-25D0-4527-A775-69358B9DAD1A}">
  <dimension ref="A1:M670"/>
  <sheetViews>
    <sheetView tabSelected="1" workbookViewId="0">
      <selection activeCell="E10" sqref="E10"/>
    </sheetView>
  </sheetViews>
  <sheetFormatPr baseColWidth="10" defaultColWidth="8.6640625" defaultRowHeight="14"/>
  <cols>
    <col min="1" max="1" width="10" bestFit="1" customWidth="1"/>
    <col min="2" max="2" width="11.5" bestFit="1" customWidth="1"/>
    <col min="3" max="3" width="8.1640625" bestFit="1" customWidth="1"/>
    <col min="4" max="4" width="10" bestFit="1" customWidth="1"/>
    <col min="5" max="5" width="10.6640625" bestFit="1" customWidth="1"/>
    <col min="6" max="6" width="7.83203125" bestFit="1" customWidth="1"/>
    <col min="7" max="7" width="57.83203125" style="67" bestFit="1" customWidth="1"/>
  </cols>
  <sheetData>
    <row r="1" spans="1:13">
      <c r="A1" s="94" t="s">
        <v>0</v>
      </c>
      <c r="B1" s="95"/>
      <c r="C1" s="95"/>
      <c r="D1" s="95"/>
      <c r="E1" s="95"/>
      <c r="F1" s="95"/>
      <c r="G1" s="96"/>
    </row>
    <row r="2" spans="1:13">
      <c r="A2" s="97"/>
      <c r="B2" s="98"/>
      <c r="C2" s="98"/>
      <c r="D2" s="98"/>
      <c r="E2" s="98"/>
      <c r="F2" s="98"/>
      <c r="G2" s="99"/>
    </row>
    <row r="3" spans="1:13">
      <c r="A3" s="102" t="s">
        <v>1</v>
      </c>
      <c r="B3" s="102" t="s">
        <v>2</v>
      </c>
      <c r="C3" s="100" t="s">
        <v>3</v>
      </c>
      <c r="D3" s="101"/>
      <c r="E3" s="102" t="s">
        <v>4</v>
      </c>
      <c r="F3" s="102" t="s">
        <v>5</v>
      </c>
      <c r="G3" s="104" t="s">
        <v>6</v>
      </c>
    </row>
    <row r="4" spans="1:13" ht="33" customHeight="1">
      <c r="A4" s="103"/>
      <c r="B4" s="103"/>
      <c r="C4" s="81" t="s">
        <v>7</v>
      </c>
      <c r="D4" s="81" t="s">
        <v>8</v>
      </c>
      <c r="E4" s="103"/>
      <c r="F4" s="103"/>
      <c r="G4" s="105"/>
      <c r="I4" s="66" t="s">
        <v>9</v>
      </c>
      <c r="J4" s="66" t="s">
        <v>10</v>
      </c>
    </row>
    <row r="5" spans="1:13">
      <c r="A5" s="20" t="str">
        <f>Table13[[#This Row],[Governorate]]</f>
        <v>Ajlun</v>
      </c>
      <c r="B5" s="82">
        <f>C5+D5</f>
        <v>1</v>
      </c>
      <c r="C5" s="82">
        <v>0</v>
      </c>
      <c r="D5" s="82">
        <f>Table13[[#This Row],[Women-led]]</f>
        <v>1</v>
      </c>
      <c r="E5" s="83">
        <f>IF(OR(B5="",D5=""),"",IFERROR(D5/B5,""))</f>
        <v>1</v>
      </c>
      <c r="F5" s="92">
        <f>Table13[[#This Row],[Staff Delta]]</f>
        <v>0</v>
      </c>
      <c r="G5" s="93" t="str">
        <f>Table13[[#This Row],[Economic Sector]]</f>
        <v>Wholesale and retail trade; repair of motor vehicles and motorcycles</v>
      </c>
      <c r="I5" s="66" t="s">
        <v>11</v>
      </c>
      <c r="J5">
        <v>0</v>
      </c>
      <c r="K5">
        <v>1</v>
      </c>
      <c r="L5" t="s">
        <v>12</v>
      </c>
      <c r="M5" t="s">
        <v>13</v>
      </c>
    </row>
    <row r="6" spans="1:13">
      <c r="A6" s="20" t="str">
        <f>Table13[[#This Row],[Governorate]]</f>
        <v>Ajlun</v>
      </c>
      <c r="B6" s="82">
        <f t="shared" ref="B6:B69" si="0">C6+D6</f>
        <v>1</v>
      </c>
      <c r="C6" s="82">
        <v>0</v>
      </c>
      <c r="D6" s="82">
        <f>Table13[[#This Row],[Women-led]]</f>
        <v>1</v>
      </c>
      <c r="E6" s="83">
        <f t="shared" ref="E6:E69" si="1">IF(OR(B6="",D6=""),"",IFERROR(D6/B6,""))</f>
        <v>1</v>
      </c>
      <c r="F6" s="92">
        <f>Table13[[#This Row],[Staff Delta]]</f>
        <v>0</v>
      </c>
      <c r="G6" s="93" t="str">
        <f>Table13[[#This Row],[Economic Sector]]</f>
        <v>Accommodation and food service activities</v>
      </c>
      <c r="I6" s="67" t="s">
        <v>14</v>
      </c>
      <c r="J6">
        <v>6</v>
      </c>
      <c r="K6">
        <v>12</v>
      </c>
      <c r="M6">
        <v>18</v>
      </c>
    </row>
    <row r="7" spans="1:13">
      <c r="A7" s="20" t="str">
        <f>Table13[[#This Row],[Governorate]]</f>
        <v>Ajlun</v>
      </c>
      <c r="B7" s="82">
        <f t="shared" si="0"/>
        <v>1</v>
      </c>
      <c r="C7" s="82">
        <v>1</v>
      </c>
      <c r="D7" s="82">
        <f>Table13[[#This Row],[Women-led]]</f>
        <v>0</v>
      </c>
      <c r="E7" s="83">
        <f t="shared" si="1"/>
        <v>0</v>
      </c>
      <c r="F7" s="92">
        <f>Table13[[#This Row],[Staff Delta]]</f>
        <v>2</v>
      </c>
      <c r="G7" s="93" t="str">
        <f>Table13[[#This Row],[Economic Sector]]</f>
        <v>Agriculture, forestry and fishing</v>
      </c>
      <c r="I7" s="67" t="s">
        <v>15</v>
      </c>
      <c r="J7">
        <v>46</v>
      </c>
      <c r="K7">
        <v>34</v>
      </c>
      <c r="M7">
        <v>80</v>
      </c>
    </row>
    <row r="8" spans="1:13">
      <c r="A8" s="20" t="str">
        <f>Table13[[#This Row],[Governorate]]</f>
        <v>Ajlun</v>
      </c>
      <c r="B8" s="82">
        <f t="shared" si="0"/>
        <v>1</v>
      </c>
      <c r="C8" s="82">
        <v>1</v>
      </c>
      <c r="D8" s="82">
        <f>Table13[[#This Row],[Women-led]]</f>
        <v>0</v>
      </c>
      <c r="E8" s="83">
        <f t="shared" si="1"/>
        <v>0</v>
      </c>
      <c r="F8" s="92">
        <f>Table13[[#This Row],[Staff Delta]]</f>
        <v>1</v>
      </c>
      <c r="G8" s="93" t="str">
        <f>Table13[[#This Row],[Economic Sector]]</f>
        <v>Manufacturing</v>
      </c>
      <c r="I8" s="67" t="s">
        <v>16</v>
      </c>
      <c r="J8">
        <v>61</v>
      </c>
      <c r="K8">
        <v>87</v>
      </c>
      <c r="M8">
        <v>148</v>
      </c>
    </row>
    <row r="9" spans="1:13">
      <c r="A9" s="20" t="str">
        <f>Table13[[#This Row],[Governorate]]</f>
        <v>Ajlun</v>
      </c>
      <c r="B9" s="82">
        <f t="shared" si="0"/>
        <v>1</v>
      </c>
      <c r="C9" s="82">
        <v>1</v>
      </c>
      <c r="D9" s="82">
        <f>Table13[[#This Row],[Women-led]]</f>
        <v>0</v>
      </c>
      <c r="E9" s="83">
        <f t="shared" si="1"/>
        <v>0</v>
      </c>
      <c r="F9" s="92">
        <f>Table13[[#This Row],[Staff Delta]]</f>
        <v>1</v>
      </c>
      <c r="G9" s="93" t="str">
        <f>Table13[[#This Row],[Economic Sector]]</f>
        <v>Accommodation and food service activities</v>
      </c>
      <c r="I9" s="67" t="s">
        <v>17</v>
      </c>
      <c r="J9">
        <v>1</v>
      </c>
      <c r="K9">
        <v>3</v>
      </c>
      <c r="M9">
        <v>4</v>
      </c>
    </row>
    <row r="10" spans="1:13">
      <c r="A10" s="20" t="str">
        <f>Table13[[#This Row],[Governorate]]</f>
        <v>Ajlun</v>
      </c>
      <c r="B10" s="82">
        <f t="shared" si="0"/>
        <v>1</v>
      </c>
      <c r="C10" s="82">
        <v>0</v>
      </c>
      <c r="D10" s="82">
        <f>Table13[[#This Row],[Women-led]]</f>
        <v>1</v>
      </c>
      <c r="E10" s="83">
        <f t="shared" si="1"/>
        <v>1</v>
      </c>
      <c r="F10" s="92">
        <f>Table13[[#This Row],[Staff Delta]]</f>
        <v>4</v>
      </c>
      <c r="G10" s="93" t="str">
        <f>Table13[[#This Row],[Economic Sector]]</f>
        <v>Accommodation and food service activities</v>
      </c>
      <c r="I10" s="67" t="s">
        <v>18</v>
      </c>
      <c r="J10">
        <v>20</v>
      </c>
      <c r="K10">
        <v>42</v>
      </c>
      <c r="M10">
        <v>62</v>
      </c>
    </row>
    <row r="11" spans="1:13">
      <c r="A11" s="20" t="str">
        <f>Table13[[#This Row],[Governorate]]</f>
        <v>Ajlun</v>
      </c>
      <c r="B11" s="82">
        <f t="shared" si="0"/>
        <v>1</v>
      </c>
      <c r="C11" s="82">
        <v>0</v>
      </c>
      <c r="D11" s="82">
        <f>Table13[[#This Row],[Women-led]]</f>
        <v>1</v>
      </c>
      <c r="E11" s="83">
        <f t="shared" si="1"/>
        <v>1</v>
      </c>
      <c r="F11" s="92">
        <f>Table13[[#This Row],[Staff Delta]]</f>
        <v>0</v>
      </c>
      <c r="G11" s="93" t="str">
        <f>Table13[[#This Row],[Economic Sector]]</f>
        <v>Manufacturing</v>
      </c>
      <c r="I11" s="67" t="s">
        <v>19</v>
      </c>
      <c r="J11">
        <v>22</v>
      </c>
      <c r="K11">
        <v>66</v>
      </c>
      <c r="M11">
        <v>88</v>
      </c>
    </row>
    <row r="12" spans="1:13">
      <c r="A12" s="20" t="str">
        <f>Table13[[#This Row],[Governorate]]</f>
        <v>Ajlun</v>
      </c>
      <c r="B12" s="82">
        <f t="shared" si="0"/>
        <v>1</v>
      </c>
      <c r="C12" s="82">
        <v>0</v>
      </c>
      <c r="D12" s="82">
        <f>Table13[[#This Row],[Women-led]]</f>
        <v>1</v>
      </c>
      <c r="E12" s="83">
        <f t="shared" si="1"/>
        <v>1</v>
      </c>
      <c r="F12" s="92">
        <f>Table13[[#This Row],[Staff Delta]]</f>
        <v>5</v>
      </c>
      <c r="G12" s="93" t="str">
        <f>Table13[[#This Row],[Economic Sector]]</f>
        <v>Manufacturing</v>
      </c>
      <c r="I12" s="67" t="s">
        <v>20</v>
      </c>
      <c r="J12">
        <v>35</v>
      </c>
      <c r="K12">
        <v>66</v>
      </c>
      <c r="M12">
        <v>101</v>
      </c>
    </row>
    <row r="13" spans="1:13">
      <c r="A13" s="20" t="str">
        <f>Table13[[#This Row],[Governorate]]</f>
        <v>Ajlun</v>
      </c>
      <c r="B13" s="82">
        <f t="shared" si="0"/>
        <v>1</v>
      </c>
      <c r="C13" s="82">
        <v>0</v>
      </c>
      <c r="D13" s="82">
        <f>Table13[[#This Row],[Women-led]]</f>
        <v>1</v>
      </c>
      <c r="E13" s="83">
        <f t="shared" si="1"/>
        <v>1</v>
      </c>
      <c r="F13" s="92">
        <f>Table13[[#This Row],[Staff Delta]]</f>
        <v>0</v>
      </c>
      <c r="G13" s="93" t="str">
        <f>Table13[[#This Row],[Economic Sector]]</f>
        <v>Accommodation and food service activities</v>
      </c>
      <c r="I13" s="67" t="s">
        <v>21</v>
      </c>
      <c r="J13">
        <v>7</v>
      </c>
      <c r="K13">
        <v>8</v>
      </c>
      <c r="M13">
        <v>15</v>
      </c>
    </row>
    <row r="14" spans="1:13">
      <c r="A14" s="20" t="str">
        <f>Table13[[#This Row],[Governorate]]</f>
        <v>Ajlun</v>
      </c>
      <c r="B14" s="82">
        <f t="shared" si="0"/>
        <v>1</v>
      </c>
      <c r="C14" s="82">
        <v>0</v>
      </c>
      <c r="D14" s="82">
        <f>Table13[[#This Row],[Women-led]]</f>
        <v>1</v>
      </c>
      <c r="E14" s="83">
        <f t="shared" si="1"/>
        <v>1</v>
      </c>
      <c r="F14" s="92">
        <f>Table13[[#This Row],[Staff Delta]]</f>
        <v>0</v>
      </c>
      <c r="G14" s="93" t="str">
        <f>Table13[[#This Row],[Economic Sector]]</f>
        <v>Accommodation and food service activities</v>
      </c>
      <c r="I14" s="67" t="s">
        <v>22</v>
      </c>
      <c r="J14">
        <v>1</v>
      </c>
      <c r="M14">
        <v>1</v>
      </c>
    </row>
    <row r="15" spans="1:13">
      <c r="A15" s="20" t="str">
        <f>Table13[[#This Row],[Governorate]]</f>
        <v>Ajlun</v>
      </c>
      <c r="B15" s="82">
        <f t="shared" si="0"/>
        <v>1</v>
      </c>
      <c r="C15" s="82">
        <v>0</v>
      </c>
      <c r="D15" s="82">
        <f>Table13[[#This Row],[Women-led]]</f>
        <v>1</v>
      </c>
      <c r="E15" s="83">
        <f t="shared" si="1"/>
        <v>1</v>
      </c>
      <c r="F15" s="92">
        <f>Table13[[#This Row],[Staff Delta]]</f>
        <v>0</v>
      </c>
      <c r="G15" s="93" t="str">
        <f>Table13[[#This Row],[Economic Sector]]</f>
        <v>Accommodation and food service activities</v>
      </c>
      <c r="I15" s="67" t="s">
        <v>23</v>
      </c>
      <c r="J15">
        <v>27</v>
      </c>
      <c r="K15">
        <v>98</v>
      </c>
      <c r="M15">
        <v>125</v>
      </c>
    </row>
    <row r="16" spans="1:13">
      <c r="A16" s="20" t="str">
        <f>Table13[[#This Row],[Governorate]]</f>
        <v>Ajlun</v>
      </c>
      <c r="B16" s="82">
        <f t="shared" si="0"/>
        <v>1</v>
      </c>
      <c r="C16" s="82">
        <v>0</v>
      </c>
      <c r="D16" s="82">
        <f>Table13[[#This Row],[Women-led]]</f>
        <v>1</v>
      </c>
      <c r="E16" s="83">
        <f t="shared" si="1"/>
        <v>1</v>
      </c>
      <c r="F16" s="92">
        <f>Table13[[#This Row],[Staff Delta]]</f>
        <v>0</v>
      </c>
      <c r="G16" s="93" t="str">
        <f>Table13[[#This Row],[Economic Sector]]</f>
        <v>Accommodation and food service activities</v>
      </c>
      <c r="I16" s="67" t="s">
        <v>24</v>
      </c>
      <c r="J16">
        <v>10</v>
      </c>
      <c r="K16">
        <v>9</v>
      </c>
      <c r="M16">
        <v>19</v>
      </c>
    </row>
    <row r="17" spans="1:13">
      <c r="A17" s="20" t="str">
        <f>Table13[[#This Row],[Governorate]]</f>
        <v>Ajlun</v>
      </c>
      <c r="B17" s="82">
        <f t="shared" si="0"/>
        <v>1</v>
      </c>
      <c r="C17" s="82">
        <v>1</v>
      </c>
      <c r="D17" s="82">
        <f>Table13[[#This Row],[Women-led]]</f>
        <v>0</v>
      </c>
      <c r="E17" s="83">
        <f t="shared" si="1"/>
        <v>0</v>
      </c>
      <c r="F17" s="92">
        <f>Table13[[#This Row],[Staff Delta]]</f>
        <v>0</v>
      </c>
      <c r="G17" s="93" t="str">
        <f>Table13[[#This Row],[Economic Sector]]</f>
        <v>Manufacturing</v>
      </c>
      <c r="I17" s="67" t="s">
        <v>25</v>
      </c>
      <c r="J17">
        <v>3</v>
      </c>
      <c r="K17">
        <v>2</v>
      </c>
      <c r="M17">
        <v>5</v>
      </c>
    </row>
    <row r="18" spans="1:13">
      <c r="A18" s="20" t="str">
        <f>Table13[[#This Row],[Governorate]]</f>
        <v>Ajlun</v>
      </c>
      <c r="B18" s="82">
        <f t="shared" si="0"/>
        <v>1</v>
      </c>
      <c r="C18" s="82">
        <v>1</v>
      </c>
      <c r="D18" s="82">
        <f>Table13[[#This Row],[Women-led]]</f>
        <v>0</v>
      </c>
      <c r="E18" s="83">
        <f t="shared" si="1"/>
        <v>0</v>
      </c>
      <c r="F18" s="92">
        <f>Table13[[#This Row],[Staff Delta]]</f>
        <v>0</v>
      </c>
      <c r="G18" s="93" t="str">
        <f>Table13[[#This Row],[Economic Sector]]</f>
        <v>Manufacturing</v>
      </c>
      <c r="I18" s="67" t="s">
        <v>12</v>
      </c>
    </row>
    <row r="19" spans="1:13">
      <c r="A19" s="20" t="str">
        <f>Table13[[#This Row],[Governorate]]</f>
        <v>Ajlun</v>
      </c>
      <c r="B19" s="82">
        <f t="shared" si="0"/>
        <v>1</v>
      </c>
      <c r="C19" s="82">
        <v>0</v>
      </c>
      <c r="D19" s="82">
        <f>Table13[[#This Row],[Women-led]]</f>
        <v>1</v>
      </c>
      <c r="E19" s="83">
        <f t="shared" si="1"/>
        <v>1</v>
      </c>
      <c r="F19" s="92">
        <f>Table13[[#This Row],[Staff Delta]]</f>
        <v>0</v>
      </c>
      <c r="G19" s="93" t="str">
        <f>Table13[[#This Row],[Economic Sector]]</f>
        <v>Accommodation and food service activities</v>
      </c>
      <c r="I19" s="67" t="s">
        <v>13</v>
      </c>
      <c r="J19">
        <v>239</v>
      </c>
      <c r="K19">
        <v>427</v>
      </c>
      <c r="M19">
        <v>666</v>
      </c>
    </row>
    <row r="20" spans="1:13">
      <c r="A20" s="20" t="str">
        <f>Table13[[#This Row],[Governorate]]</f>
        <v>Ajlun</v>
      </c>
      <c r="B20" s="82">
        <f t="shared" si="0"/>
        <v>1</v>
      </c>
      <c r="C20" s="82">
        <v>1</v>
      </c>
      <c r="D20" s="82">
        <f>Table13[[#This Row],[Women-led]]</f>
        <v>0</v>
      </c>
      <c r="E20" s="83">
        <f t="shared" si="1"/>
        <v>0</v>
      </c>
      <c r="F20" s="92">
        <f>Table13[[#This Row],[Staff Delta]]</f>
        <v>0</v>
      </c>
      <c r="G20" s="93" t="str">
        <f>Table13[[#This Row],[Economic Sector]]</f>
        <v>Manufacturing</v>
      </c>
    </row>
    <row r="21" spans="1:13">
      <c r="A21" s="20" t="str">
        <f>Table13[[#This Row],[Governorate]]</f>
        <v>Ajlun</v>
      </c>
      <c r="B21" s="82">
        <f t="shared" si="0"/>
        <v>1</v>
      </c>
      <c r="C21" s="82">
        <v>0</v>
      </c>
      <c r="D21" s="82">
        <f>Table13[[#This Row],[Women-led]]</f>
        <v>1</v>
      </c>
      <c r="E21" s="83">
        <f t="shared" si="1"/>
        <v>1</v>
      </c>
      <c r="F21" s="92">
        <f>Table13[[#This Row],[Staff Delta]]</f>
        <v>0</v>
      </c>
      <c r="G21" s="93" t="str">
        <f>Table13[[#This Row],[Economic Sector]]</f>
        <v>Accommodation and food service activities</v>
      </c>
    </row>
    <row r="22" spans="1:13">
      <c r="A22" s="20" t="str">
        <f>Table13[[#This Row],[Governorate]]</f>
        <v>Ajlun</v>
      </c>
      <c r="B22" s="82">
        <f t="shared" si="0"/>
        <v>1</v>
      </c>
      <c r="C22" s="82">
        <v>0</v>
      </c>
      <c r="D22" s="82">
        <f>Table13[[#This Row],[Women-led]]</f>
        <v>1</v>
      </c>
      <c r="E22" s="83">
        <f t="shared" si="1"/>
        <v>1</v>
      </c>
      <c r="F22" s="92">
        <f>Table13[[#This Row],[Staff Delta]]</f>
        <v>0</v>
      </c>
      <c r="G22" s="93" t="str">
        <f>Table13[[#This Row],[Economic Sector]]</f>
        <v>Information and communication</v>
      </c>
    </row>
    <row r="23" spans="1:13">
      <c r="A23" s="20" t="str">
        <f>Table13[[#This Row],[Governorate]]</f>
        <v>Amman</v>
      </c>
      <c r="B23" s="82">
        <f t="shared" si="0"/>
        <v>1</v>
      </c>
      <c r="C23" s="82">
        <v>0</v>
      </c>
      <c r="D23" s="82">
        <f>Table13[[#This Row],[Women-led]]</f>
        <v>1</v>
      </c>
      <c r="E23" s="83">
        <f t="shared" si="1"/>
        <v>1</v>
      </c>
      <c r="F23" s="92">
        <f>Table13[[#This Row],[Staff Delta]]</f>
        <v>3</v>
      </c>
      <c r="G23" s="93" t="str">
        <f>Table13[[#This Row],[Economic Sector]]</f>
        <v>Water supply, Sewerage, Waste Management and Remediation Activities</v>
      </c>
    </row>
    <row r="24" spans="1:13">
      <c r="A24" s="20" t="str">
        <f>Table13[[#This Row],[Governorate]]</f>
        <v>Amman</v>
      </c>
      <c r="B24" s="82">
        <f t="shared" si="0"/>
        <v>1</v>
      </c>
      <c r="C24" s="82">
        <v>0</v>
      </c>
      <c r="D24" s="82">
        <f>Table13[[#This Row],[Women-led]]</f>
        <v>1</v>
      </c>
      <c r="E24" s="83">
        <f t="shared" si="1"/>
        <v>1</v>
      </c>
      <c r="F24" s="92">
        <f>Table13[[#This Row],[Staff Delta]]</f>
        <v>0</v>
      </c>
      <c r="G24" s="93" t="str">
        <f>Table13[[#This Row],[Economic Sector]]</f>
        <v>Manufacturing</v>
      </c>
    </row>
    <row r="25" spans="1:13">
      <c r="A25" s="20" t="str">
        <f>Table13[[#This Row],[Governorate]]</f>
        <v>Amman</v>
      </c>
      <c r="B25" s="82">
        <f t="shared" si="0"/>
        <v>1</v>
      </c>
      <c r="C25" s="82">
        <v>0</v>
      </c>
      <c r="D25" s="82">
        <f>Table13[[#This Row],[Women-led]]</f>
        <v>1</v>
      </c>
      <c r="E25" s="83">
        <f t="shared" si="1"/>
        <v>1</v>
      </c>
      <c r="F25" s="92">
        <f>Table13[[#This Row],[Staff Delta]]</f>
        <v>0</v>
      </c>
      <c r="G25" s="93" t="str">
        <f>Table13[[#This Row],[Economic Sector]]</f>
        <v>Manufacturing</v>
      </c>
    </row>
    <row r="26" spans="1:13">
      <c r="A26" s="20" t="str">
        <f>Table13[[#This Row],[Governorate]]</f>
        <v>Amman</v>
      </c>
      <c r="B26" s="82">
        <f t="shared" si="0"/>
        <v>1</v>
      </c>
      <c r="C26" s="82">
        <v>0</v>
      </c>
      <c r="D26" s="82">
        <f>Table13[[#This Row],[Women-led]]</f>
        <v>1</v>
      </c>
      <c r="E26" s="83">
        <f t="shared" si="1"/>
        <v>1</v>
      </c>
      <c r="F26" s="92">
        <f>Table13[[#This Row],[Staff Delta]]</f>
        <v>3</v>
      </c>
      <c r="G26" s="93" t="str">
        <f>Table13[[#This Row],[Economic Sector]]</f>
        <v>Information and communication</v>
      </c>
    </row>
    <row r="27" spans="1:13">
      <c r="A27" s="20" t="str">
        <f>Table13[[#This Row],[Governorate]]</f>
        <v>Amman</v>
      </c>
      <c r="B27" s="82">
        <f t="shared" si="0"/>
        <v>1</v>
      </c>
      <c r="C27" s="82">
        <v>0</v>
      </c>
      <c r="D27" s="82">
        <f>Table13[[#This Row],[Women-led]]</f>
        <v>1</v>
      </c>
      <c r="E27" s="83">
        <f t="shared" si="1"/>
        <v>1</v>
      </c>
      <c r="F27" s="92">
        <f>Table13[[#This Row],[Staff Delta]]</f>
        <v>9</v>
      </c>
      <c r="G27" s="93" t="str">
        <f>Table13[[#This Row],[Economic Sector]]</f>
        <v>Financial and insurance activities</v>
      </c>
    </row>
    <row r="28" spans="1:13">
      <c r="A28" s="20" t="str">
        <f>Table13[[#This Row],[Governorate]]</f>
        <v>Amman</v>
      </c>
      <c r="B28" s="82">
        <f t="shared" si="0"/>
        <v>1</v>
      </c>
      <c r="C28" s="82">
        <v>1</v>
      </c>
      <c r="D28" s="82">
        <f>Table13[[#This Row],[Women-led]]</f>
        <v>0</v>
      </c>
      <c r="E28" s="83">
        <f t="shared" si="1"/>
        <v>0</v>
      </c>
      <c r="F28" s="92">
        <f>Table13[[#This Row],[Staff Delta]]</f>
        <v>0</v>
      </c>
      <c r="G28" s="93" t="str">
        <f>Table13[[#This Row],[Economic Sector]]</f>
        <v>Information and communication</v>
      </c>
    </row>
    <row r="29" spans="1:13">
      <c r="A29" s="20" t="str">
        <f>Table13[[#This Row],[Governorate]]</f>
        <v>Amman</v>
      </c>
      <c r="B29" s="82">
        <f t="shared" si="0"/>
        <v>1</v>
      </c>
      <c r="C29" s="82">
        <v>0</v>
      </c>
      <c r="D29" s="82">
        <f>Table13[[#This Row],[Women-led]]</f>
        <v>1</v>
      </c>
      <c r="E29" s="83">
        <f t="shared" si="1"/>
        <v>1</v>
      </c>
      <c r="F29" s="92">
        <f>Table13[[#This Row],[Staff Delta]]</f>
        <v>0</v>
      </c>
      <c r="G29" s="93" t="str">
        <f>Table13[[#This Row],[Economic Sector]]</f>
        <v>Agriculture, forestry and fishing</v>
      </c>
    </row>
    <row r="30" spans="1:13">
      <c r="A30" s="20" t="str">
        <f>Table13[[#This Row],[Governorate]]</f>
        <v>Amman</v>
      </c>
      <c r="B30" s="82">
        <f t="shared" si="0"/>
        <v>1</v>
      </c>
      <c r="C30" s="82">
        <v>0</v>
      </c>
      <c r="D30" s="82">
        <f>Table13[[#This Row],[Women-led]]</f>
        <v>1</v>
      </c>
      <c r="E30" s="83">
        <f t="shared" si="1"/>
        <v>1</v>
      </c>
      <c r="F30" s="92">
        <f>Table13[[#This Row],[Staff Delta]]</f>
        <v>1</v>
      </c>
      <c r="G30" s="93" t="str">
        <f>Table13[[#This Row],[Economic Sector]]</f>
        <v>Human health and social work activities</v>
      </c>
    </row>
    <row r="31" spans="1:13">
      <c r="A31" s="20" t="str">
        <f>Table13[[#This Row],[Governorate]]</f>
        <v>Amman</v>
      </c>
      <c r="B31" s="82">
        <f t="shared" si="0"/>
        <v>1</v>
      </c>
      <c r="C31" s="82">
        <v>0</v>
      </c>
      <c r="D31" s="82">
        <f>Table13[[#This Row],[Women-led]]</f>
        <v>1</v>
      </c>
      <c r="E31" s="83">
        <f t="shared" si="1"/>
        <v>1</v>
      </c>
      <c r="F31" s="92">
        <f>Table13[[#This Row],[Staff Delta]]</f>
        <v>11</v>
      </c>
      <c r="G31" s="93" t="str">
        <f>Table13[[#This Row],[Economic Sector]]</f>
        <v>Water supply; sewerage, waste management and remediation activities</v>
      </c>
    </row>
    <row r="32" spans="1:13">
      <c r="A32" s="20" t="str">
        <f>Table13[[#This Row],[Governorate]]</f>
        <v>Amman</v>
      </c>
      <c r="B32" s="82">
        <f t="shared" si="0"/>
        <v>1</v>
      </c>
      <c r="C32" s="82">
        <v>1</v>
      </c>
      <c r="D32" s="82">
        <f>Table13[[#This Row],[Women-led]]</f>
        <v>0</v>
      </c>
      <c r="E32" s="83">
        <f t="shared" si="1"/>
        <v>0</v>
      </c>
      <c r="F32" s="92">
        <f>Table13[[#This Row],[Staff Delta]]</f>
        <v>0</v>
      </c>
      <c r="G32" s="93">
        <f>Table13[[#This Row],[Economic Sector]]</f>
        <v>0</v>
      </c>
    </row>
    <row r="33" spans="1:7">
      <c r="A33" s="20" t="str">
        <f>Table13[[#This Row],[Governorate]]</f>
        <v>Amman</v>
      </c>
      <c r="B33" s="82">
        <f t="shared" si="0"/>
        <v>1</v>
      </c>
      <c r="C33" s="82">
        <v>1</v>
      </c>
      <c r="D33" s="82">
        <f>Table13[[#This Row],[Women-led]]</f>
        <v>0</v>
      </c>
      <c r="E33" s="83">
        <f t="shared" si="1"/>
        <v>0</v>
      </c>
      <c r="F33" s="92">
        <f>Table13[[#This Row],[Staff Delta]]</f>
        <v>0</v>
      </c>
      <c r="G33" s="93" t="str">
        <f>Table13[[#This Row],[Economic Sector]]</f>
        <v>Administrative and support service activities</v>
      </c>
    </row>
    <row r="34" spans="1:7">
      <c r="A34" s="20" t="str">
        <f>Table13[[#This Row],[Governorate]]</f>
        <v>Amman</v>
      </c>
      <c r="B34" s="82">
        <f t="shared" si="0"/>
        <v>1</v>
      </c>
      <c r="C34" s="82">
        <v>0</v>
      </c>
      <c r="D34" s="82">
        <f>Table13[[#This Row],[Women-led]]</f>
        <v>1</v>
      </c>
      <c r="E34" s="83">
        <f t="shared" si="1"/>
        <v>1</v>
      </c>
      <c r="F34" s="92">
        <f>Table13[[#This Row],[Staff Delta]]</f>
        <v>0</v>
      </c>
      <c r="G34" s="93" t="str">
        <f>Table13[[#This Row],[Economic Sector]]</f>
        <v>Education</v>
      </c>
    </row>
    <row r="35" spans="1:7">
      <c r="A35" s="20" t="str">
        <f>Table13[[#This Row],[Governorate]]</f>
        <v>Amman</v>
      </c>
      <c r="B35" s="82">
        <f t="shared" si="0"/>
        <v>1</v>
      </c>
      <c r="C35" s="82">
        <v>1</v>
      </c>
      <c r="D35" s="82">
        <f>Table13[[#This Row],[Women-led]]</f>
        <v>0</v>
      </c>
      <c r="E35" s="83">
        <f t="shared" si="1"/>
        <v>0</v>
      </c>
      <c r="F35" s="92">
        <f>Table13[[#This Row],[Staff Delta]]</f>
        <v>0</v>
      </c>
      <c r="G35" s="93" t="str">
        <f>Table13[[#This Row],[Economic Sector]]</f>
        <v>Information and communication</v>
      </c>
    </row>
    <row r="36" spans="1:7">
      <c r="A36" s="20" t="str">
        <f>Table13[[#This Row],[Governorate]]</f>
        <v>Amman</v>
      </c>
      <c r="B36" s="82">
        <f t="shared" si="0"/>
        <v>1</v>
      </c>
      <c r="C36" s="82">
        <v>1</v>
      </c>
      <c r="D36" s="82">
        <f>Table13[[#This Row],[Women-led]]</f>
        <v>0</v>
      </c>
      <c r="E36" s="83">
        <f t="shared" si="1"/>
        <v>0</v>
      </c>
      <c r="F36" s="92">
        <f>Table13[[#This Row],[Staff Delta]]</f>
        <v>0</v>
      </c>
      <c r="G36" s="93" t="str">
        <f>Table13[[#This Row],[Economic Sector]]</f>
        <v>Information and communication</v>
      </c>
    </row>
    <row r="37" spans="1:7">
      <c r="A37" s="20" t="str">
        <f>Table13[[#This Row],[Governorate]]</f>
        <v>Amman</v>
      </c>
      <c r="B37" s="82">
        <f t="shared" si="0"/>
        <v>1</v>
      </c>
      <c r="C37" s="82">
        <v>1</v>
      </c>
      <c r="D37" s="82">
        <f>Table13[[#This Row],[Women-led]]</f>
        <v>0</v>
      </c>
      <c r="E37" s="83">
        <f t="shared" si="1"/>
        <v>0</v>
      </c>
      <c r="F37" s="92">
        <f>Table13[[#This Row],[Staff Delta]]</f>
        <v>0</v>
      </c>
      <c r="G37" s="93" t="str">
        <f>Table13[[#This Row],[Economic Sector]]</f>
        <v>Information and communication</v>
      </c>
    </row>
    <row r="38" spans="1:7">
      <c r="A38" s="20" t="str">
        <f>Table13[[#This Row],[Governorate]]</f>
        <v>Amman</v>
      </c>
      <c r="B38" s="82">
        <f t="shared" si="0"/>
        <v>1</v>
      </c>
      <c r="C38" s="82">
        <v>1</v>
      </c>
      <c r="D38" s="82">
        <f>Table13[[#This Row],[Women-led]]</f>
        <v>0</v>
      </c>
      <c r="E38" s="83">
        <f t="shared" si="1"/>
        <v>0</v>
      </c>
      <c r="F38" s="92">
        <f>Table13[[#This Row],[Staff Delta]]</f>
        <v>0</v>
      </c>
      <c r="G38" s="93" t="str">
        <f>Table13[[#This Row],[Economic Sector]]</f>
        <v>Human health and social work activities</v>
      </c>
    </row>
    <row r="39" spans="1:7">
      <c r="A39" s="20" t="str">
        <f>Table13[[#This Row],[Governorate]]</f>
        <v>Amman</v>
      </c>
      <c r="B39" s="82">
        <f t="shared" si="0"/>
        <v>1</v>
      </c>
      <c r="C39" s="82">
        <v>1</v>
      </c>
      <c r="D39" s="82">
        <f>Table13[[#This Row],[Women-led]]</f>
        <v>0</v>
      </c>
      <c r="E39" s="83">
        <f t="shared" si="1"/>
        <v>0</v>
      </c>
      <c r="F39" s="92">
        <f>Table13[[#This Row],[Staff Delta]]</f>
        <v>9</v>
      </c>
      <c r="G39" s="93" t="str">
        <f>Table13[[#This Row],[Economic Sector]]</f>
        <v>Information and communication</v>
      </c>
    </row>
    <row r="40" spans="1:7">
      <c r="A40" s="20" t="str">
        <f>Table13[[#This Row],[Governorate]]</f>
        <v>Amman</v>
      </c>
      <c r="B40" s="82">
        <f t="shared" si="0"/>
        <v>1</v>
      </c>
      <c r="C40" s="82">
        <v>1</v>
      </c>
      <c r="D40" s="82">
        <f>Table13[[#This Row],[Women-led]]</f>
        <v>0</v>
      </c>
      <c r="E40" s="83">
        <f t="shared" si="1"/>
        <v>0</v>
      </c>
      <c r="F40" s="92">
        <f>Table13[[#This Row],[Staff Delta]]</f>
        <v>0</v>
      </c>
      <c r="G40" s="93" t="str">
        <f>Table13[[#This Row],[Economic Sector]]</f>
        <v>Professional, scientific and technical activities</v>
      </c>
    </row>
    <row r="41" spans="1:7">
      <c r="A41" s="20" t="str">
        <f>Table13[[#This Row],[Governorate]]</f>
        <v>Amman</v>
      </c>
      <c r="B41" s="82">
        <f t="shared" si="0"/>
        <v>1</v>
      </c>
      <c r="C41" s="82">
        <v>1</v>
      </c>
      <c r="D41" s="82">
        <f>Table13[[#This Row],[Women-led]]</f>
        <v>0</v>
      </c>
      <c r="E41" s="83">
        <f t="shared" si="1"/>
        <v>0</v>
      </c>
      <c r="F41" s="92">
        <f>Table13[[#This Row],[Staff Delta]]</f>
        <v>0</v>
      </c>
      <c r="G41" s="93" t="str">
        <f>Table13[[#This Row],[Economic Sector]]</f>
        <v>Information and communication</v>
      </c>
    </row>
    <row r="42" spans="1:7">
      <c r="A42" s="20" t="str">
        <f>Table13[[#This Row],[Governorate]]</f>
        <v>Amman</v>
      </c>
      <c r="B42" s="82">
        <f t="shared" si="0"/>
        <v>1</v>
      </c>
      <c r="C42" s="82">
        <v>1</v>
      </c>
      <c r="D42" s="82">
        <f>Table13[[#This Row],[Women-led]]</f>
        <v>0</v>
      </c>
      <c r="E42" s="83">
        <f t="shared" si="1"/>
        <v>0</v>
      </c>
      <c r="F42" s="92">
        <f>Table13[[#This Row],[Staff Delta]]</f>
        <v>0</v>
      </c>
      <c r="G42" s="93" t="str">
        <f>Table13[[#This Row],[Economic Sector]]</f>
        <v>Information and communication</v>
      </c>
    </row>
    <row r="43" spans="1:7">
      <c r="A43" s="20" t="str">
        <f>Table13[[#This Row],[Governorate]]</f>
        <v>Amman</v>
      </c>
      <c r="B43" s="82">
        <f t="shared" si="0"/>
        <v>1</v>
      </c>
      <c r="C43" s="82">
        <v>1</v>
      </c>
      <c r="D43" s="82">
        <f>Table13[[#This Row],[Women-led]]</f>
        <v>0</v>
      </c>
      <c r="E43" s="83">
        <f t="shared" si="1"/>
        <v>0</v>
      </c>
      <c r="F43" s="92">
        <f>Table13[[#This Row],[Staff Delta]]</f>
        <v>0</v>
      </c>
      <c r="G43" s="93" t="str">
        <f>Table13[[#This Row],[Economic Sector]]</f>
        <v>Arts, entertainment and recreation</v>
      </c>
    </row>
    <row r="44" spans="1:7">
      <c r="A44" s="20" t="str">
        <f>Table13[[#This Row],[Governorate]]</f>
        <v>Amman</v>
      </c>
      <c r="B44" s="82">
        <f t="shared" si="0"/>
        <v>1</v>
      </c>
      <c r="C44" s="82">
        <v>1</v>
      </c>
      <c r="D44" s="82">
        <f>Table13[[#This Row],[Women-led]]</f>
        <v>0</v>
      </c>
      <c r="E44" s="83">
        <f t="shared" si="1"/>
        <v>0</v>
      </c>
      <c r="F44" s="92">
        <f>Table13[[#This Row],[Staff Delta]]</f>
        <v>0</v>
      </c>
      <c r="G44" s="93" t="str">
        <f>Table13[[#This Row],[Economic Sector]]</f>
        <v>Professional, scientific and technical activities</v>
      </c>
    </row>
    <row r="45" spans="1:7">
      <c r="A45" s="20" t="str">
        <f>Table13[[#This Row],[Governorate]]</f>
        <v>Amman</v>
      </c>
      <c r="B45" s="82">
        <f t="shared" si="0"/>
        <v>1</v>
      </c>
      <c r="C45" s="82">
        <v>0</v>
      </c>
      <c r="D45" s="82">
        <f>Table13[[#This Row],[Women-led]]</f>
        <v>1</v>
      </c>
      <c r="E45" s="83">
        <f t="shared" si="1"/>
        <v>1</v>
      </c>
      <c r="F45" s="92">
        <f>Table13[[#This Row],[Staff Delta]]</f>
        <v>0</v>
      </c>
      <c r="G45" s="93" t="str">
        <f>Table13[[#This Row],[Economic Sector]]</f>
        <v>Human health and social work activities</v>
      </c>
    </row>
    <row r="46" spans="1:7">
      <c r="A46" s="20" t="str">
        <f>Table13[[#This Row],[Governorate]]</f>
        <v>Amman</v>
      </c>
      <c r="B46" s="82">
        <f t="shared" si="0"/>
        <v>1</v>
      </c>
      <c r="C46" s="82">
        <v>0</v>
      </c>
      <c r="D46" s="82">
        <f>Table13[[#This Row],[Women-led]]</f>
        <v>1</v>
      </c>
      <c r="E46" s="83">
        <f t="shared" si="1"/>
        <v>1</v>
      </c>
      <c r="F46" s="92">
        <f>Table13[[#This Row],[Staff Delta]]</f>
        <v>0</v>
      </c>
      <c r="G46" s="93" t="str">
        <f>Table13[[#This Row],[Economic Sector]]</f>
        <v>Education</v>
      </c>
    </row>
    <row r="47" spans="1:7">
      <c r="A47" s="20" t="str">
        <f>Table13[[#This Row],[Governorate]]</f>
        <v>Amman</v>
      </c>
      <c r="B47" s="82">
        <f t="shared" si="0"/>
        <v>1</v>
      </c>
      <c r="C47" s="82">
        <v>1</v>
      </c>
      <c r="D47" s="82">
        <f>Table13[[#This Row],[Women-led]]</f>
        <v>0</v>
      </c>
      <c r="E47" s="83">
        <f t="shared" si="1"/>
        <v>0</v>
      </c>
      <c r="F47" s="92">
        <f>Table13[[#This Row],[Staff Delta]]</f>
        <v>0</v>
      </c>
      <c r="G47" s="93" t="str">
        <f>Table13[[#This Row],[Economic Sector]]</f>
        <v>Human health and social work activities</v>
      </c>
    </row>
    <row r="48" spans="1:7">
      <c r="A48" s="20" t="str">
        <f>Table13[[#This Row],[Governorate]]</f>
        <v>Amman</v>
      </c>
      <c r="B48" s="82">
        <f t="shared" si="0"/>
        <v>1</v>
      </c>
      <c r="C48" s="82">
        <v>1</v>
      </c>
      <c r="D48" s="82">
        <f>Table13[[#This Row],[Women-led]]</f>
        <v>0</v>
      </c>
      <c r="E48" s="83">
        <f t="shared" si="1"/>
        <v>0</v>
      </c>
      <c r="F48" s="92">
        <f>Table13[[#This Row],[Staff Delta]]</f>
        <v>0</v>
      </c>
      <c r="G48" s="93" t="str">
        <f>Table13[[#This Row],[Economic Sector]]</f>
        <v>Information and communication</v>
      </c>
    </row>
    <row r="49" spans="1:7">
      <c r="A49" s="20" t="str">
        <f>Table13[[#This Row],[Governorate]]</f>
        <v>Amman</v>
      </c>
      <c r="B49" s="82">
        <f t="shared" si="0"/>
        <v>1</v>
      </c>
      <c r="C49" s="82">
        <v>1</v>
      </c>
      <c r="D49" s="82">
        <f>Table13[[#This Row],[Women-led]]</f>
        <v>0</v>
      </c>
      <c r="E49" s="83">
        <f t="shared" si="1"/>
        <v>0</v>
      </c>
      <c r="F49" s="92">
        <f>Table13[[#This Row],[Staff Delta]]</f>
        <v>0</v>
      </c>
      <c r="G49" s="93" t="str">
        <f>Table13[[#This Row],[Economic Sector]]</f>
        <v>Professional, scientific and technical activities</v>
      </c>
    </row>
    <row r="50" spans="1:7">
      <c r="A50" s="20" t="str">
        <f>Table13[[#This Row],[Governorate]]</f>
        <v>Amman</v>
      </c>
      <c r="B50" s="82">
        <f t="shared" si="0"/>
        <v>1</v>
      </c>
      <c r="C50" s="82">
        <v>1</v>
      </c>
      <c r="D50" s="82">
        <f>Table13[[#This Row],[Women-led]]</f>
        <v>0</v>
      </c>
      <c r="E50" s="83">
        <f t="shared" si="1"/>
        <v>0</v>
      </c>
      <c r="F50" s="92">
        <f>Table13[[#This Row],[Staff Delta]]</f>
        <v>0</v>
      </c>
      <c r="G50" s="93" t="str">
        <f>Table13[[#This Row],[Economic Sector]]</f>
        <v>Arts, entertainment and recreation</v>
      </c>
    </row>
    <row r="51" spans="1:7">
      <c r="A51" s="20" t="str">
        <f>Table13[[#This Row],[Governorate]]</f>
        <v>Amman</v>
      </c>
      <c r="B51" s="82">
        <f t="shared" si="0"/>
        <v>1</v>
      </c>
      <c r="C51" s="82">
        <v>0</v>
      </c>
      <c r="D51" s="82">
        <f>Table13[[#This Row],[Women-led]]</f>
        <v>1</v>
      </c>
      <c r="E51" s="83">
        <f t="shared" si="1"/>
        <v>1</v>
      </c>
      <c r="F51" s="92">
        <f>Table13[[#This Row],[Staff Delta]]</f>
        <v>0</v>
      </c>
      <c r="G51" s="93" t="str">
        <f>Table13[[#This Row],[Economic Sector]]</f>
        <v>Arts, entertainment and recreation</v>
      </c>
    </row>
    <row r="52" spans="1:7">
      <c r="A52" s="20" t="str">
        <f>Table13[[#This Row],[Governorate]]</f>
        <v>Amman</v>
      </c>
      <c r="B52" s="82">
        <f t="shared" si="0"/>
        <v>1</v>
      </c>
      <c r="C52" s="82">
        <v>1</v>
      </c>
      <c r="D52" s="82">
        <f>Table13[[#This Row],[Women-led]]</f>
        <v>0</v>
      </c>
      <c r="E52" s="83">
        <f t="shared" si="1"/>
        <v>0</v>
      </c>
      <c r="F52" s="92">
        <f>Table13[[#This Row],[Staff Delta]]</f>
        <v>0</v>
      </c>
      <c r="G52" s="93" t="str">
        <f>Table13[[#This Row],[Economic Sector]]</f>
        <v>Financial and insurance activities</v>
      </c>
    </row>
    <row r="53" spans="1:7">
      <c r="A53" s="20" t="str">
        <f>Table13[[#This Row],[Governorate]]</f>
        <v>Amman</v>
      </c>
      <c r="B53" s="82">
        <f t="shared" si="0"/>
        <v>1</v>
      </c>
      <c r="C53" s="82">
        <v>1</v>
      </c>
      <c r="D53" s="82">
        <f>Table13[[#This Row],[Women-led]]</f>
        <v>0</v>
      </c>
      <c r="E53" s="83">
        <f t="shared" si="1"/>
        <v>0</v>
      </c>
      <c r="F53" s="92">
        <f>Table13[[#This Row],[Staff Delta]]</f>
        <v>0</v>
      </c>
      <c r="G53" s="93" t="str">
        <f>Table13[[#This Row],[Economic Sector]]</f>
        <v>Education</v>
      </c>
    </row>
    <row r="54" spans="1:7">
      <c r="A54" s="20" t="str">
        <f>Table13[[#This Row],[Governorate]]</f>
        <v>Amman</v>
      </c>
      <c r="B54" s="82">
        <f t="shared" si="0"/>
        <v>1</v>
      </c>
      <c r="C54" s="82">
        <v>0</v>
      </c>
      <c r="D54" s="82">
        <f>Table13[[#This Row],[Women-led]]</f>
        <v>1</v>
      </c>
      <c r="E54" s="83">
        <f t="shared" si="1"/>
        <v>1</v>
      </c>
      <c r="F54" s="92">
        <f>Table13[[#This Row],[Staff Delta]]</f>
        <v>0</v>
      </c>
      <c r="G54" s="93" t="str">
        <f>Table13[[#This Row],[Economic Sector]]</f>
        <v>Arts, entertainment and recreation</v>
      </c>
    </row>
    <row r="55" spans="1:7">
      <c r="A55" s="20" t="str">
        <f>Table13[[#This Row],[Governorate]]</f>
        <v>Amman</v>
      </c>
      <c r="B55" s="82">
        <f t="shared" si="0"/>
        <v>1</v>
      </c>
      <c r="C55" s="82">
        <v>1</v>
      </c>
      <c r="D55" s="82">
        <f>Table13[[#This Row],[Women-led]]</f>
        <v>0</v>
      </c>
      <c r="E55" s="83">
        <f t="shared" si="1"/>
        <v>0</v>
      </c>
      <c r="F55" s="92">
        <f>Table13[[#This Row],[Staff Delta]]</f>
        <v>0</v>
      </c>
      <c r="G55" s="93" t="str">
        <f>Table13[[#This Row],[Economic Sector]]</f>
        <v>Wholesale and retail trade; repair of motor vehicles and motorcycles</v>
      </c>
    </row>
    <row r="56" spans="1:7">
      <c r="A56" s="20" t="str">
        <f>Table13[[#This Row],[Governorate]]</f>
        <v>Amman</v>
      </c>
      <c r="B56" s="82">
        <f t="shared" si="0"/>
        <v>1</v>
      </c>
      <c r="C56" s="82">
        <v>0</v>
      </c>
      <c r="D56" s="82">
        <f>Table13[[#This Row],[Women-led]]</f>
        <v>1</v>
      </c>
      <c r="E56" s="83">
        <f t="shared" si="1"/>
        <v>1</v>
      </c>
      <c r="F56" s="92">
        <f>Table13[[#This Row],[Staff Delta]]</f>
        <v>0</v>
      </c>
      <c r="G56" s="93" t="str">
        <f>Table13[[#This Row],[Economic Sector]]</f>
        <v>Manufacturing</v>
      </c>
    </row>
    <row r="57" spans="1:7">
      <c r="A57" s="20" t="str">
        <f>Table13[[#This Row],[Governorate]]</f>
        <v>Amman</v>
      </c>
      <c r="B57" s="82">
        <f t="shared" si="0"/>
        <v>1</v>
      </c>
      <c r="C57" s="82">
        <v>0</v>
      </c>
      <c r="D57" s="82">
        <f>Table13[[#This Row],[Women-led]]</f>
        <v>1</v>
      </c>
      <c r="E57" s="83">
        <f t="shared" si="1"/>
        <v>1</v>
      </c>
      <c r="F57" s="92">
        <f>Table13[[#This Row],[Staff Delta]]</f>
        <v>0</v>
      </c>
      <c r="G57" s="93" t="str">
        <f>Table13[[#This Row],[Economic Sector]]</f>
        <v>Transportation and storage</v>
      </c>
    </row>
    <row r="58" spans="1:7">
      <c r="A58" s="20" t="str">
        <f>Table13[[#This Row],[Governorate]]</f>
        <v>Amman</v>
      </c>
      <c r="B58" s="82">
        <f t="shared" si="0"/>
        <v>1</v>
      </c>
      <c r="C58" s="82">
        <v>0</v>
      </c>
      <c r="D58" s="82">
        <f>Table13[[#This Row],[Women-led]]</f>
        <v>1</v>
      </c>
      <c r="E58" s="83">
        <f t="shared" si="1"/>
        <v>1</v>
      </c>
      <c r="F58" s="92">
        <f>Table13[[#This Row],[Staff Delta]]</f>
        <v>0</v>
      </c>
      <c r="G58" s="93" t="str">
        <f>Table13[[#This Row],[Economic Sector]]</f>
        <v>Education</v>
      </c>
    </row>
    <row r="59" spans="1:7">
      <c r="A59" s="20" t="str">
        <f>Table13[[#This Row],[Governorate]]</f>
        <v>Amman</v>
      </c>
      <c r="B59" s="82">
        <f t="shared" si="0"/>
        <v>1</v>
      </c>
      <c r="C59" s="82">
        <v>0</v>
      </c>
      <c r="D59" s="82">
        <f>Table13[[#This Row],[Women-led]]</f>
        <v>1</v>
      </c>
      <c r="E59" s="83">
        <f t="shared" si="1"/>
        <v>1</v>
      </c>
      <c r="F59" s="92">
        <f>Table13[[#This Row],[Staff Delta]]</f>
        <v>0</v>
      </c>
      <c r="G59" s="93" t="str">
        <f>Table13[[#This Row],[Economic Sector]]</f>
        <v>Administrative and support service activities</v>
      </c>
    </row>
    <row r="60" spans="1:7">
      <c r="A60" s="20" t="str">
        <f>Table13[[#This Row],[Governorate]]</f>
        <v>Amman</v>
      </c>
      <c r="B60" s="82">
        <f t="shared" si="0"/>
        <v>1</v>
      </c>
      <c r="C60" s="82">
        <v>0</v>
      </c>
      <c r="D60" s="82">
        <f>Table13[[#This Row],[Women-led]]</f>
        <v>1</v>
      </c>
      <c r="E60" s="83">
        <f t="shared" si="1"/>
        <v>1</v>
      </c>
      <c r="F60" s="92">
        <f>Table13[[#This Row],[Staff Delta]]</f>
        <v>0</v>
      </c>
      <c r="G60" s="93" t="str">
        <f>Table13[[#This Row],[Economic Sector]]</f>
        <v>Manufacturing</v>
      </c>
    </row>
    <row r="61" spans="1:7">
      <c r="A61" s="20" t="str">
        <f>Table13[[#This Row],[Governorate]]</f>
        <v>Amman</v>
      </c>
      <c r="B61" s="82">
        <f t="shared" si="0"/>
        <v>1</v>
      </c>
      <c r="C61" s="82">
        <v>0</v>
      </c>
      <c r="D61" s="82">
        <f>Table13[[#This Row],[Women-led]]</f>
        <v>1</v>
      </c>
      <c r="E61" s="83">
        <f t="shared" si="1"/>
        <v>1</v>
      </c>
      <c r="F61" s="92">
        <f>Table13[[#This Row],[Staff Delta]]</f>
        <v>0</v>
      </c>
      <c r="G61" s="93" t="str">
        <f>Table13[[#This Row],[Economic Sector]]</f>
        <v>Manufacturing</v>
      </c>
    </row>
    <row r="62" spans="1:7">
      <c r="A62" s="20" t="str">
        <f>Table13[[#This Row],[Governorate]]</f>
        <v>Amman</v>
      </c>
      <c r="B62" s="82">
        <f t="shared" si="0"/>
        <v>1</v>
      </c>
      <c r="C62" s="82">
        <v>0</v>
      </c>
      <c r="D62" s="82">
        <f>Table13[[#This Row],[Women-led]]</f>
        <v>1</v>
      </c>
      <c r="E62" s="83">
        <f t="shared" si="1"/>
        <v>1</v>
      </c>
      <c r="F62" s="92">
        <f>Table13[[#This Row],[Staff Delta]]</f>
        <v>0</v>
      </c>
      <c r="G62" s="93" t="str">
        <f>Table13[[#This Row],[Economic Sector]]</f>
        <v>Manufacturing</v>
      </c>
    </row>
    <row r="63" spans="1:7">
      <c r="A63" s="20" t="str">
        <f>Table13[[#This Row],[Governorate]]</f>
        <v>Amman</v>
      </c>
      <c r="B63" s="82">
        <f t="shared" si="0"/>
        <v>1</v>
      </c>
      <c r="C63" s="82">
        <v>0</v>
      </c>
      <c r="D63" s="82">
        <f>Table13[[#This Row],[Women-led]]</f>
        <v>1</v>
      </c>
      <c r="E63" s="83">
        <f t="shared" si="1"/>
        <v>1</v>
      </c>
      <c r="F63" s="92">
        <f>Table13[[#This Row],[Staff Delta]]</f>
        <v>0</v>
      </c>
      <c r="G63" s="93" t="str">
        <f>Table13[[#This Row],[Economic Sector]]</f>
        <v>Agriculture, forestry and fishing</v>
      </c>
    </row>
    <row r="64" spans="1:7">
      <c r="A64" s="20" t="str">
        <f>Table13[[#This Row],[Governorate]]</f>
        <v>Amman</v>
      </c>
      <c r="B64" s="82">
        <f t="shared" si="0"/>
        <v>1</v>
      </c>
      <c r="C64" s="82">
        <v>1</v>
      </c>
      <c r="D64" s="82">
        <f>Table13[[#This Row],[Women-led]]</f>
        <v>0</v>
      </c>
      <c r="E64" s="83">
        <f t="shared" si="1"/>
        <v>0</v>
      </c>
      <c r="F64" s="92">
        <f>Table13[[#This Row],[Staff Delta]]</f>
        <v>0</v>
      </c>
      <c r="G64" s="93" t="str">
        <f>Table13[[#This Row],[Economic Sector]]</f>
        <v>Manufacturing</v>
      </c>
    </row>
    <row r="65" spans="1:7">
      <c r="A65" s="20" t="str">
        <f>Table13[[#This Row],[Governorate]]</f>
        <v>Amman</v>
      </c>
      <c r="B65" s="82">
        <f t="shared" si="0"/>
        <v>1</v>
      </c>
      <c r="C65" s="82">
        <v>0</v>
      </c>
      <c r="D65" s="82">
        <f>Table13[[#This Row],[Women-led]]</f>
        <v>1</v>
      </c>
      <c r="E65" s="83">
        <f t="shared" si="1"/>
        <v>1</v>
      </c>
      <c r="F65" s="92">
        <f>Table13[[#This Row],[Staff Delta]]</f>
        <v>0</v>
      </c>
      <c r="G65" s="93" t="str">
        <f>Table13[[#This Row],[Economic Sector]]</f>
        <v>Manufacturing</v>
      </c>
    </row>
    <row r="66" spans="1:7">
      <c r="A66" s="20" t="str">
        <f>Table13[[#This Row],[Governorate]]</f>
        <v>Amman</v>
      </c>
      <c r="B66" s="82">
        <f t="shared" si="0"/>
        <v>1</v>
      </c>
      <c r="C66" s="82">
        <v>0</v>
      </c>
      <c r="D66" s="82">
        <f>Table13[[#This Row],[Women-led]]</f>
        <v>1</v>
      </c>
      <c r="E66" s="83">
        <f t="shared" si="1"/>
        <v>1</v>
      </c>
      <c r="F66" s="92">
        <f>Table13[[#This Row],[Staff Delta]]</f>
        <v>0</v>
      </c>
      <c r="G66" s="93" t="str">
        <f>Table13[[#This Row],[Economic Sector]]</f>
        <v>Manufacturing</v>
      </c>
    </row>
    <row r="67" spans="1:7">
      <c r="A67" s="20" t="str">
        <f>Table13[[#This Row],[Governorate]]</f>
        <v>Amman</v>
      </c>
      <c r="B67" s="82">
        <f t="shared" si="0"/>
        <v>1</v>
      </c>
      <c r="C67" s="82">
        <v>1</v>
      </c>
      <c r="D67" s="82">
        <f>Table13[[#This Row],[Women-led]]</f>
        <v>0</v>
      </c>
      <c r="E67" s="83">
        <f t="shared" si="1"/>
        <v>0</v>
      </c>
      <c r="F67" s="92">
        <f>Table13[[#This Row],[Staff Delta]]</f>
        <v>0</v>
      </c>
      <c r="G67" s="93" t="str">
        <f>Table13[[#This Row],[Economic Sector]]</f>
        <v>Manufacturing</v>
      </c>
    </row>
    <row r="68" spans="1:7">
      <c r="A68" s="20" t="str">
        <f>Table13[[#This Row],[Governorate]]</f>
        <v>Amman</v>
      </c>
      <c r="B68" s="82">
        <f t="shared" si="0"/>
        <v>1</v>
      </c>
      <c r="C68" s="82">
        <v>0</v>
      </c>
      <c r="D68" s="82">
        <f>Table13[[#This Row],[Women-led]]</f>
        <v>1</v>
      </c>
      <c r="E68" s="83">
        <f t="shared" si="1"/>
        <v>1</v>
      </c>
      <c r="F68" s="92">
        <f>Table13[[#This Row],[Staff Delta]]</f>
        <v>0</v>
      </c>
      <c r="G68" s="93" t="str">
        <f>Table13[[#This Row],[Economic Sector]]</f>
        <v>Manufacturing</v>
      </c>
    </row>
    <row r="69" spans="1:7">
      <c r="A69" s="20" t="str">
        <f>Table13[[#This Row],[Governorate]]</f>
        <v>Amman</v>
      </c>
      <c r="B69" s="82">
        <f t="shared" si="0"/>
        <v>1</v>
      </c>
      <c r="C69" s="82">
        <v>0</v>
      </c>
      <c r="D69" s="82">
        <f>Table13[[#This Row],[Women-led]]</f>
        <v>1</v>
      </c>
      <c r="E69" s="83">
        <f t="shared" si="1"/>
        <v>1</v>
      </c>
      <c r="F69" s="92">
        <f>Table13[[#This Row],[Staff Delta]]</f>
        <v>0</v>
      </c>
      <c r="G69" s="93" t="str">
        <f>Table13[[#This Row],[Economic Sector]]</f>
        <v>Water supply; sewerage, waste management and remediation activities</v>
      </c>
    </row>
    <row r="70" spans="1:7">
      <c r="A70" s="20" t="str">
        <f>Table13[[#This Row],[Governorate]]</f>
        <v>Amman</v>
      </c>
      <c r="B70" s="82">
        <f t="shared" ref="B70:B133" si="2">C70+D70</f>
        <v>1</v>
      </c>
      <c r="C70" s="82">
        <v>1</v>
      </c>
      <c r="D70" s="82">
        <f>Table13[[#This Row],[Women-led]]</f>
        <v>0</v>
      </c>
      <c r="E70" s="83">
        <f t="shared" ref="E70:E133" si="3">IF(OR(B70="",D70=""),"",IFERROR(D70/B70,""))</f>
        <v>0</v>
      </c>
      <c r="F70" s="92">
        <f>Table13[[#This Row],[Staff Delta]]</f>
        <v>0</v>
      </c>
      <c r="G70" s="93" t="str">
        <f>Table13[[#This Row],[Economic Sector]]</f>
        <v>Accommodation and food service activities</v>
      </c>
    </row>
    <row r="71" spans="1:7">
      <c r="A71" s="20" t="str">
        <f>Table13[[#This Row],[Governorate]]</f>
        <v>Amman</v>
      </c>
      <c r="B71" s="82">
        <f t="shared" si="2"/>
        <v>1</v>
      </c>
      <c r="C71" s="82">
        <v>1</v>
      </c>
      <c r="D71" s="82">
        <f>Table13[[#This Row],[Women-led]]</f>
        <v>0</v>
      </c>
      <c r="E71" s="83">
        <f t="shared" si="3"/>
        <v>0</v>
      </c>
      <c r="F71" s="92">
        <f>Table13[[#This Row],[Staff Delta]]</f>
        <v>0</v>
      </c>
      <c r="G71" s="93" t="str">
        <f>Table13[[#This Row],[Economic Sector]]</f>
        <v>Agriculture, forestry and fishing</v>
      </c>
    </row>
    <row r="72" spans="1:7">
      <c r="A72" s="20" t="str">
        <f>Table13[[#This Row],[Governorate]]</f>
        <v>Amman</v>
      </c>
      <c r="B72" s="82">
        <f t="shared" si="2"/>
        <v>1</v>
      </c>
      <c r="C72" s="82">
        <v>0</v>
      </c>
      <c r="D72" s="82">
        <f>Table13[[#This Row],[Women-led]]</f>
        <v>1</v>
      </c>
      <c r="E72" s="83">
        <f t="shared" si="3"/>
        <v>1</v>
      </c>
      <c r="F72" s="92">
        <f>Table13[[#This Row],[Staff Delta]]</f>
        <v>0</v>
      </c>
      <c r="G72" s="93" t="str">
        <f>Table13[[#This Row],[Economic Sector]]</f>
        <v>Arts, entertainment and recreation</v>
      </c>
    </row>
    <row r="73" spans="1:7">
      <c r="A73" s="20" t="str">
        <f>Table13[[#This Row],[Governorate]]</f>
        <v>Amman</v>
      </c>
      <c r="B73" s="82">
        <f t="shared" si="2"/>
        <v>1</v>
      </c>
      <c r="C73" s="82">
        <v>1</v>
      </c>
      <c r="D73" s="82">
        <f>Table13[[#This Row],[Women-led]]</f>
        <v>0</v>
      </c>
      <c r="E73" s="83">
        <f t="shared" si="3"/>
        <v>0</v>
      </c>
      <c r="F73" s="92">
        <f>Table13[[#This Row],[Staff Delta]]</f>
        <v>0</v>
      </c>
      <c r="G73" s="93" t="str">
        <f>Table13[[#This Row],[Economic Sector]]</f>
        <v>Arts, entertainment and recreation</v>
      </c>
    </row>
    <row r="74" spans="1:7">
      <c r="A74" s="20" t="str">
        <f>Table13[[#This Row],[Governorate]]</f>
        <v>Amman</v>
      </c>
      <c r="B74" s="82">
        <f t="shared" si="2"/>
        <v>1</v>
      </c>
      <c r="C74" s="82">
        <v>1</v>
      </c>
      <c r="D74" s="82">
        <f>Table13[[#This Row],[Women-led]]</f>
        <v>0</v>
      </c>
      <c r="E74" s="83">
        <f t="shared" si="3"/>
        <v>0</v>
      </c>
      <c r="F74" s="92">
        <f>Table13[[#This Row],[Staff Delta]]</f>
        <v>0</v>
      </c>
      <c r="G74" s="93" t="str">
        <f>Table13[[#This Row],[Economic Sector]]</f>
        <v>Manufacturing</v>
      </c>
    </row>
    <row r="75" spans="1:7">
      <c r="A75" s="20" t="str">
        <f>Table13[[#This Row],[Governorate]]</f>
        <v>Amman</v>
      </c>
      <c r="B75" s="82">
        <f t="shared" si="2"/>
        <v>1</v>
      </c>
      <c r="C75" s="82">
        <v>1</v>
      </c>
      <c r="D75" s="82">
        <f>Table13[[#This Row],[Women-led]]</f>
        <v>0</v>
      </c>
      <c r="E75" s="83">
        <f t="shared" si="3"/>
        <v>0</v>
      </c>
      <c r="F75" s="92">
        <f>Table13[[#This Row],[Staff Delta]]</f>
        <v>0</v>
      </c>
      <c r="G75" s="93" t="str">
        <f>Table13[[#This Row],[Economic Sector]]</f>
        <v>Administrative and support service activities</v>
      </c>
    </row>
    <row r="76" spans="1:7">
      <c r="A76" s="20" t="str">
        <f>Table13[[#This Row],[Governorate]]</f>
        <v>Amman</v>
      </c>
      <c r="B76" s="82">
        <f t="shared" si="2"/>
        <v>1</v>
      </c>
      <c r="C76" s="82">
        <v>1</v>
      </c>
      <c r="D76" s="82">
        <f>Table13[[#This Row],[Women-led]]</f>
        <v>0</v>
      </c>
      <c r="E76" s="83">
        <f t="shared" si="3"/>
        <v>0</v>
      </c>
      <c r="F76" s="92">
        <f>Table13[[#This Row],[Staff Delta]]</f>
        <v>0</v>
      </c>
      <c r="G76" s="93" t="str">
        <f>Table13[[#This Row],[Economic Sector]]</f>
        <v>Human health and social work activities</v>
      </c>
    </row>
    <row r="77" spans="1:7">
      <c r="A77" s="20" t="str">
        <f>Table13[[#This Row],[Governorate]]</f>
        <v>Amman</v>
      </c>
      <c r="B77" s="82">
        <f t="shared" si="2"/>
        <v>1</v>
      </c>
      <c r="C77" s="82">
        <v>1</v>
      </c>
      <c r="D77" s="82">
        <f>Table13[[#This Row],[Women-led]]</f>
        <v>0</v>
      </c>
      <c r="E77" s="83">
        <f t="shared" si="3"/>
        <v>0</v>
      </c>
      <c r="F77" s="92">
        <f>Table13[[#This Row],[Staff Delta]]</f>
        <v>0</v>
      </c>
      <c r="G77" s="93" t="str">
        <f>Table13[[#This Row],[Economic Sector]]</f>
        <v>Manufacturing</v>
      </c>
    </row>
    <row r="78" spans="1:7">
      <c r="A78" s="20" t="str">
        <f>Table13[[#This Row],[Governorate]]</f>
        <v>Amman</v>
      </c>
      <c r="B78" s="82">
        <f t="shared" si="2"/>
        <v>1</v>
      </c>
      <c r="C78" s="82">
        <v>1</v>
      </c>
      <c r="D78" s="82">
        <f>Table13[[#This Row],[Women-led]]</f>
        <v>0</v>
      </c>
      <c r="E78" s="83">
        <f t="shared" si="3"/>
        <v>0</v>
      </c>
      <c r="F78" s="92">
        <f>Table13[[#This Row],[Staff Delta]]</f>
        <v>0</v>
      </c>
      <c r="G78" s="93" t="str">
        <f>Table13[[#This Row],[Economic Sector]]</f>
        <v>Financial and insurance activities</v>
      </c>
    </row>
    <row r="79" spans="1:7">
      <c r="A79" s="20" t="str">
        <f>Table13[[#This Row],[Governorate]]</f>
        <v>Amman</v>
      </c>
      <c r="B79" s="82">
        <f t="shared" si="2"/>
        <v>1</v>
      </c>
      <c r="C79" s="82">
        <v>1</v>
      </c>
      <c r="D79" s="82">
        <f>Table13[[#This Row],[Women-led]]</f>
        <v>0</v>
      </c>
      <c r="E79" s="83">
        <f t="shared" si="3"/>
        <v>0</v>
      </c>
      <c r="F79" s="92">
        <f>Table13[[#This Row],[Staff Delta]]</f>
        <v>0</v>
      </c>
      <c r="G79" s="93" t="str">
        <f>Table13[[#This Row],[Economic Sector]]</f>
        <v>Arts, entertainment and recreation</v>
      </c>
    </row>
    <row r="80" spans="1:7">
      <c r="A80" s="20" t="str">
        <f>Table13[[#This Row],[Governorate]]</f>
        <v>Amman</v>
      </c>
      <c r="B80" s="82">
        <f t="shared" si="2"/>
        <v>1</v>
      </c>
      <c r="C80" s="82">
        <v>1</v>
      </c>
      <c r="D80" s="82">
        <f>Table13[[#This Row],[Women-led]]</f>
        <v>0</v>
      </c>
      <c r="E80" s="83">
        <f t="shared" si="3"/>
        <v>0</v>
      </c>
      <c r="F80" s="92">
        <f>Table13[[#This Row],[Staff Delta]]</f>
        <v>0</v>
      </c>
      <c r="G80" s="93" t="str">
        <f>Table13[[#This Row],[Economic Sector]]</f>
        <v>Arts, entertainment and recreation</v>
      </c>
    </row>
    <row r="81" spans="1:7">
      <c r="A81" s="20" t="str">
        <f>Table13[[#This Row],[Governorate]]</f>
        <v>Amman</v>
      </c>
      <c r="B81" s="82">
        <f t="shared" si="2"/>
        <v>1</v>
      </c>
      <c r="C81" s="82">
        <v>1</v>
      </c>
      <c r="D81" s="82">
        <f>Table13[[#This Row],[Women-led]]</f>
        <v>0</v>
      </c>
      <c r="E81" s="83">
        <f t="shared" si="3"/>
        <v>0</v>
      </c>
      <c r="F81" s="92">
        <f>Table13[[#This Row],[Staff Delta]]</f>
        <v>0</v>
      </c>
      <c r="G81" s="93" t="str">
        <f>Table13[[#This Row],[Economic Sector]]</f>
        <v>Professional, scientific and technical activities</v>
      </c>
    </row>
    <row r="82" spans="1:7">
      <c r="A82" s="20" t="str">
        <f>Table13[[#This Row],[Governorate]]</f>
        <v>Amman</v>
      </c>
      <c r="B82" s="82">
        <f t="shared" si="2"/>
        <v>1</v>
      </c>
      <c r="C82" s="82">
        <v>0</v>
      </c>
      <c r="D82" s="82">
        <f>Table13[[#This Row],[Women-led]]</f>
        <v>1</v>
      </c>
      <c r="E82" s="83">
        <f t="shared" si="3"/>
        <v>1</v>
      </c>
      <c r="F82" s="92">
        <f>Table13[[#This Row],[Staff Delta]]</f>
        <v>0</v>
      </c>
      <c r="G82" s="93" t="str">
        <f>Table13[[#This Row],[Economic Sector]]</f>
        <v>Education</v>
      </c>
    </row>
    <row r="83" spans="1:7">
      <c r="A83" s="20" t="str">
        <f>Table13[[#This Row],[Governorate]]</f>
        <v>Amman</v>
      </c>
      <c r="B83" s="82">
        <f t="shared" si="2"/>
        <v>1</v>
      </c>
      <c r="C83" s="82">
        <v>1</v>
      </c>
      <c r="D83" s="82">
        <f>Table13[[#This Row],[Women-led]]</f>
        <v>0</v>
      </c>
      <c r="E83" s="83">
        <f t="shared" si="3"/>
        <v>0</v>
      </c>
      <c r="F83" s="92">
        <f>Table13[[#This Row],[Staff Delta]]</f>
        <v>0</v>
      </c>
      <c r="G83" s="93" t="str">
        <f>Table13[[#This Row],[Economic Sector]]</f>
        <v>Information and communication</v>
      </c>
    </row>
    <row r="84" spans="1:7">
      <c r="A84" s="20" t="str">
        <f>Table13[[#This Row],[Governorate]]</f>
        <v>Amman</v>
      </c>
      <c r="B84" s="82">
        <f t="shared" si="2"/>
        <v>1</v>
      </c>
      <c r="C84" s="82">
        <v>1</v>
      </c>
      <c r="D84" s="82">
        <f>Table13[[#This Row],[Women-led]]</f>
        <v>0</v>
      </c>
      <c r="E84" s="83">
        <f t="shared" si="3"/>
        <v>0</v>
      </c>
      <c r="F84" s="92">
        <f>Table13[[#This Row],[Staff Delta]]</f>
        <v>0</v>
      </c>
      <c r="G84" s="93" t="str">
        <f>Table13[[#This Row],[Economic Sector]]</f>
        <v>Information and communication</v>
      </c>
    </row>
    <row r="85" spans="1:7">
      <c r="A85" s="20" t="str">
        <f>Table13[[#This Row],[Governorate]]</f>
        <v>Amman</v>
      </c>
      <c r="B85" s="82">
        <f t="shared" si="2"/>
        <v>1</v>
      </c>
      <c r="C85" s="82">
        <v>1</v>
      </c>
      <c r="D85" s="82">
        <f>Table13[[#This Row],[Women-led]]</f>
        <v>0</v>
      </c>
      <c r="E85" s="83">
        <f t="shared" si="3"/>
        <v>0</v>
      </c>
      <c r="F85" s="92">
        <f>Table13[[#This Row],[Staff Delta]]</f>
        <v>0</v>
      </c>
      <c r="G85" s="93" t="str">
        <f>Table13[[#This Row],[Economic Sector]]</f>
        <v>Real estate activities</v>
      </c>
    </row>
    <row r="86" spans="1:7">
      <c r="A86" s="20" t="str">
        <f>Table13[[#This Row],[Governorate]]</f>
        <v>Amman</v>
      </c>
      <c r="B86" s="82">
        <f t="shared" si="2"/>
        <v>1</v>
      </c>
      <c r="C86" s="82">
        <v>1</v>
      </c>
      <c r="D86" s="82">
        <f>Table13[[#This Row],[Women-led]]</f>
        <v>0</v>
      </c>
      <c r="E86" s="83">
        <f t="shared" si="3"/>
        <v>0</v>
      </c>
      <c r="F86" s="92">
        <f>Table13[[#This Row],[Staff Delta]]</f>
        <v>0</v>
      </c>
      <c r="G86" s="93" t="str">
        <f>Table13[[#This Row],[Economic Sector]]</f>
        <v>Agriculture, forestry and fishing</v>
      </c>
    </row>
    <row r="87" spans="1:7">
      <c r="A87" s="20" t="str">
        <f>Table13[[#This Row],[Governorate]]</f>
        <v>Amman</v>
      </c>
      <c r="B87" s="82">
        <f t="shared" si="2"/>
        <v>1</v>
      </c>
      <c r="C87" s="82">
        <v>1</v>
      </c>
      <c r="D87" s="82">
        <f>Table13[[#This Row],[Women-led]]</f>
        <v>0</v>
      </c>
      <c r="E87" s="83">
        <f t="shared" si="3"/>
        <v>0</v>
      </c>
      <c r="F87" s="92">
        <f>Table13[[#This Row],[Staff Delta]]</f>
        <v>0</v>
      </c>
      <c r="G87" s="93" t="str">
        <f>Table13[[#This Row],[Economic Sector]]</f>
        <v>Manufacturing</v>
      </c>
    </row>
    <row r="88" spans="1:7">
      <c r="A88" s="20" t="str">
        <f>Table13[[#This Row],[Governorate]]</f>
        <v>Amman</v>
      </c>
      <c r="B88" s="82">
        <f t="shared" si="2"/>
        <v>1</v>
      </c>
      <c r="C88" s="82">
        <v>0</v>
      </c>
      <c r="D88" s="82">
        <f>Table13[[#This Row],[Women-led]]</f>
        <v>1</v>
      </c>
      <c r="E88" s="83">
        <f t="shared" si="3"/>
        <v>1</v>
      </c>
      <c r="F88" s="92">
        <f>Table13[[#This Row],[Staff Delta]]</f>
        <v>0</v>
      </c>
      <c r="G88" s="93" t="str">
        <f>Table13[[#This Row],[Economic Sector]]</f>
        <v>Financial and insurance activities</v>
      </c>
    </row>
    <row r="89" spans="1:7">
      <c r="A89" s="20" t="str">
        <f>Table13[[#This Row],[Governorate]]</f>
        <v>Amman</v>
      </c>
      <c r="B89" s="82">
        <f t="shared" si="2"/>
        <v>1</v>
      </c>
      <c r="C89" s="82">
        <v>1</v>
      </c>
      <c r="D89" s="82">
        <f>Table13[[#This Row],[Women-led]]</f>
        <v>0</v>
      </c>
      <c r="E89" s="83">
        <f t="shared" si="3"/>
        <v>0</v>
      </c>
      <c r="F89" s="92">
        <f>Table13[[#This Row],[Staff Delta]]</f>
        <v>0</v>
      </c>
      <c r="G89" s="93" t="str">
        <f>Table13[[#This Row],[Economic Sector]]</f>
        <v>Manufacturing</v>
      </c>
    </row>
    <row r="90" spans="1:7">
      <c r="A90" s="20" t="str">
        <f>Table13[[#This Row],[Governorate]]</f>
        <v>Amman</v>
      </c>
      <c r="B90" s="82">
        <f t="shared" si="2"/>
        <v>1</v>
      </c>
      <c r="C90" s="82">
        <v>1</v>
      </c>
      <c r="D90" s="82">
        <f>Table13[[#This Row],[Women-led]]</f>
        <v>0</v>
      </c>
      <c r="E90" s="83">
        <f t="shared" si="3"/>
        <v>0</v>
      </c>
      <c r="F90" s="92">
        <f>Table13[[#This Row],[Staff Delta]]</f>
        <v>0</v>
      </c>
      <c r="G90" s="93" t="str">
        <f>Table13[[#This Row],[Economic Sector]]</f>
        <v>Wholesale and retail trade; repair of motor vehicles and motorcycles</v>
      </c>
    </row>
    <row r="91" spans="1:7">
      <c r="A91" s="20" t="str">
        <f>Table13[[#This Row],[Governorate]]</f>
        <v>Amman</v>
      </c>
      <c r="B91" s="82">
        <f t="shared" si="2"/>
        <v>1</v>
      </c>
      <c r="C91" s="82">
        <v>0</v>
      </c>
      <c r="D91" s="82">
        <f>Table13[[#This Row],[Women-led]]</f>
        <v>1</v>
      </c>
      <c r="E91" s="83">
        <f t="shared" si="3"/>
        <v>1</v>
      </c>
      <c r="F91" s="92">
        <f>Table13[[#This Row],[Staff Delta]]</f>
        <v>0</v>
      </c>
      <c r="G91" s="93" t="str">
        <f>Table13[[#This Row],[Economic Sector]]</f>
        <v>Education</v>
      </c>
    </row>
    <row r="92" spans="1:7">
      <c r="A92" s="20" t="str">
        <f>Table13[[#This Row],[Governorate]]</f>
        <v>Amman</v>
      </c>
      <c r="B92" s="82">
        <f t="shared" si="2"/>
        <v>1</v>
      </c>
      <c r="C92" s="82">
        <v>0</v>
      </c>
      <c r="D92" s="82">
        <f>Table13[[#This Row],[Women-led]]</f>
        <v>1</v>
      </c>
      <c r="E92" s="83">
        <f t="shared" si="3"/>
        <v>1</v>
      </c>
      <c r="F92" s="92">
        <f>Table13[[#This Row],[Staff Delta]]</f>
        <v>0</v>
      </c>
      <c r="G92" s="93" t="str">
        <f>Table13[[#This Row],[Economic Sector]]</f>
        <v>Agriculture, forestry and fishing</v>
      </c>
    </row>
    <row r="93" spans="1:7">
      <c r="A93" s="20" t="str">
        <f>Table13[[#This Row],[Governorate]]</f>
        <v>Amman</v>
      </c>
      <c r="B93" s="82">
        <f t="shared" si="2"/>
        <v>1</v>
      </c>
      <c r="C93" s="82">
        <v>0</v>
      </c>
      <c r="D93" s="82">
        <f>Table13[[#This Row],[Women-led]]</f>
        <v>1</v>
      </c>
      <c r="E93" s="83">
        <f t="shared" si="3"/>
        <v>1</v>
      </c>
      <c r="F93" s="92">
        <f>Table13[[#This Row],[Staff Delta]]</f>
        <v>0</v>
      </c>
      <c r="G93" s="93" t="str">
        <f>Table13[[#This Row],[Economic Sector]]</f>
        <v>Professional, scientific and technical activities</v>
      </c>
    </row>
    <row r="94" spans="1:7">
      <c r="A94" s="20" t="str">
        <f>Table13[[#This Row],[Governorate]]</f>
        <v>Amman</v>
      </c>
      <c r="B94" s="82">
        <f t="shared" si="2"/>
        <v>1</v>
      </c>
      <c r="C94" s="82">
        <v>0</v>
      </c>
      <c r="D94" s="82">
        <f>Table13[[#This Row],[Women-led]]</f>
        <v>1</v>
      </c>
      <c r="E94" s="83">
        <f t="shared" si="3"/>
        <v>1</v>
      </c>
      <c r="F94" s="92">
        <f>Table13[[#This Row],[Staff Delta]]</f>
        <v>0</v>
      </c>
      <c r="G94" s="93" t="str">
        <f>Table13[[#This Row],[Economic Sector]]</f>
        <v>Arts, entertainment and recreation</v>
      </c>
    </row>
    <row r="95" spans="1:7">
      <c r="A95" s="20" t="str">
        <f>Table13[[#This Row],[Governorate]]</f>
        <v>Amman</v>
      </c>
      <c r="B95" s="82">
        <f t="shared" si="2"/>
        <v>1</v>
      </c>
      <c r="C95" s="82">
        <v>1</v>
      </c>
      <c r="D95" s="82">
        <f>Table13[[#This Row],[Women-led]]</f>
        <v>0</v>
      </c>
      <c r="E95" s="83">
        <f t="shared" si="3"/>
        <v>0</v>
      </c>
      <c r="F95" s="92">
        <f>Table13[[#This Row],[Staff Delta]]</f>
        <v>0</v>
      </c>
      <c r="G95" s="93" t="str">
        <f>Table13[[#This Row],[Economic Sector]]</f>
        <v>Manufacturing</v>
      </c>
    </row>
    <row r="96" spans="1:7">
      <c r="A96" s="20" t="str">
        <f>Table13[[#This Row],[Governorate]]</f>
        <v>Amman</v>
      </c>
      <c r="B96" s="82">
        <f t="shared" si="2"/>
        <v>1</v>
      </c>
      <c r="C96" s="82">
        <v>1</v>
      </c>
      <c r="D96" s="82">
        <f>Table13[[#This Row],[Women-led]]</f>
        <v>0</v>
      </c>
      <c r="E96" s="83">
        <f t="shared" si="3"/>
        <v>0</v>
      </c>
      <c r="F96" s="92">
        <f>Table13[[#This Row],[Staff Delta]]</f>
        <v>0</v>
      </c>
      <c r="G96" s="93" t="str">
        <f>Table13[[#This Row],[Economic Sector]]</f>
        <v>Professional, scientific and technical activities</v>
      </c>
    </row>
    <row r="97" spans="1:7">
      <c r="A97" s="20" t="str">
        <f>Table13[[#This Row],[Governorate]]</f>
        <v>Amman</v>
      </c>
      <c r="B97" s="82">
        <f t="shared" si="2"/>
        <v>1</v>
      </c>
      <c r="C97" s="82">
        <v>0</v>
      </c>
      <c r="D97" s="82">
        <f>Table13[[#This Row],[Women-led]]</f>
        <v>1</v>
      </c>
      <c r="E97" s="83">
        <f t="shared" si="3"/>
        <v>1</v>
      </c>
      <c r="F97" s="92">
        <f>Table13[[#This Row],[Staff Delta]]</f>
        <v>0</v>
      </c>
      <c r="G97" s="93" t="str">
        <f>Table13[[#This Row],[Economic Sector]]</f>
        <v>Education</v>
      </c>
    </row>
    <row r="98" spans="1:7">
      <c r="A98" s="20" t="str">
        <f>Table13[[#This Row],[Governorate]]</f>
        <v>Amman</v>
      </c>
      <c r="B98" s="82">
        <f t="shared" si="2"/>
        <v>1</v>
      </c>
      <c r="C98" s="82">
        <v>1</v>
      </c>
      <c r="D98" s="82">
        <f>Table13[[#This Row],[Women-led]]</f>
        <v>0</v>
      </c>
      <c r="E98" s="83">
        <f t="shared" si="3"/>
        <v>0</v>
      </c>
      <c r="F98" s="92">
        <f>Table13[[#This Row],[Staff Delta]]</f>
        <v>0</v>
      </c>
      <c r="G98" s="93" t="str">
        <f>Table13[[#This Row],[Economic Sector]]</f>
        <v>Wholesale and retail trade; repair of motor vehicles and motorcycles</v>
      </c>
    </row>
    <row r="99" spans="1:7">
      <c r="A99" s="20" t="str">
        <f>Table13[[#This Row],[Governorate]]</f>
        <v>Amman</v>
      </c>
      <c r="B99" s="82">
        <f t="shared" si="2"/>
        <v>1</v>
      </c>
      <c r="C99" s="82">
        <v>1</v>
      </c>
      <c r="D99" s="82">
        <f>Table13[[#This Row],[Women-led]]</f>
        <v>0</v>
      </c>
      <c r="E99" s="83">
        <f t="shared" si="3"/>
        <v>0</v>
      </c>
      <c r="F99" s="92">
        <f>Table13[[#This Row],[Staff Delta]]</f>
        <v>0</v>
      </c>
      <c r="G99" s="93" t="str">
        <f>Table13[[#This Row],[Economic Sector]]</f>
        <v>Manufacturing</v>
      </c>
    </row>
    <row r="100" spans="1:7">
      <c r="A100" s="20" t="str">
        <f>Table13[[#This Row],[Governorate]]</f>
        <v>Amman</v>
      </c>
      <c r="B100" s="82">
        <f t="shared" si="2"/>
        <v>1</v>
      </c>
      <c r="C100" s="82">
        <v>0</v>
      </c>
      <c r="D100" s="82">
        <f>Table13[[#This Row],[Women-led]]</f>
        <v>1</v>
      </c>
      <c r="E100" s="83">
        <f t="shared" si="3"/>
        <v>1</v>
      </c>
      <c r="F100" s="92">
        <f>Table13[[#This Row],[Staff Delta]]</f>
        <v>0</v>
      </c>
      <c r="G100" s="93" t="str">
        <f>Table13[[#This Row],[Economic Sector]]</f>
        <v>Manufacturing</v>
      </c>
    </row>
    <row r="101" spans="1:7">
      <c r="A101" s="20" t="str">
        <f>Table13[[#This Row],[Governorate]]</f>
        <v>Amman</v>
      </c>
      <c r="B101" s="82">
        <f t="shared" si="2"/>
        <v>1</v>
      </c>
      <c r="C101" s="82">
        <v>1</v>
      </c>
      <c r="D101" s="82">
        <f>Table13[[#This Row],[Women-led]]</f>
        <v>0</v>
      </c>
      <c r="E101" s="83">
        <f t="shared" si="3"/>
        <v>0</v>
      </c>
      <c r="F101" s="92">
        <f>Table13[[#This Row],[Staff Delta]]</f>
        <v>0</v>
      </c>
      <c r="G101" s="93" t="str">
        <f>Table13[[#This Row],[Economic Sector]]</f>
        <v>Agriculture, forestry and fishing</v>
      </c>
    </row>
    <row r="102" spans="1:7">
      <c r="A102" s="20" t="str">
        <f>Table13[[#This Row],[Governorate]]</f>
        <v>Amman</v>
      </c>
      <c r="B102" s="82">
        <f t="shared" si="2"/>
        <v>1</v>
      </c>
      <c r="C102" s="82">
        <v>1</v>
      </c>
      <c r="D102" s="82">
        <f>Table13[[#This Row],[Women-led]]</f>
        <v>0</v>
      </c>
      <c r="E102" s="83">
        <f t="shared" si="3"/>
        <v>0</v>
      </c>
      <c r="F102" s="92">
        <f>Table13[[#This Row],[Staff Delta]]</f>
        <v>0</v>
      </c>
      <c r="G102" s="93" t="str">
        <f>Table13[[#This Row],[Economic Sector]]</f>
        <v>Construction</v>
      </c>
    </row>
    <row r="103" spans="1:7">
      <c r="A103" s="20" t="str">
        <f>Table13[[#This Row],[Governorate]]</f>
        <v>Aqaba</v>
      </c>
      <c r="B103" s="82">
        <f t="shared" si="2"/>
        <v>1</v>
      </c>
      <c r="C103" s="82">
        <v>1</v>
      </c>
      <c r="D103" s="82">
        <f>Table13[[#This Row],[Women-led]]</f>
        <v>0</v>
      </c>
      <c r="E103" s="83">
        <f t="shared" si="3"/>
        <v>0</v>
      </c>
      <c r="F103" s="92">
        <f>Table13[[#This Row],[Staff Delta]]</f>
        <v>3</v>
      </c>
      <c r="G103" s="93" t="str">
        <f>Table13[[#This Row],[Economic Sector]]</f>
        <v>Manufacturing</v>
      </c>
    </row>
    <row r="104" spans="1:7">
      <c r="A104" s="20" t="str">
        <f>Table13[[#This Row],[Governorate]]</f>
        <v>Aqaba</v>
      </c>
      <c r="B104" s="82">
        <f t="shared" si="2"/>
        <v>1</v>
      </c>
      <c r="C104" s="82">
        <v>1</v>
      </c>
      <c r="D104" s="82">
        <f>Table13[[#This Row],[Women-led]]</f>
        <v>0</v>
      </c>
      <c r="E104" s="83">
        <f t="shared" si="3"/>
        <v>0</v>
      </c>
      <c r="F104" s="92">
        <f>Table13[[#This Row],[Staff Delta]]</f>
        <v>11</v>
      </c>
      <c r="G104" s="93" t="str">
        <f>Table13[[#This Row],[Economic Sector]]</f>
        <v>Arts, entertainment and recreation</v>
      </c>
    </row>
    <row r="105" spans="1:7">
      <c r="A105" s="20" t="str">
        <f>Table13[[#This Row],[Governorate]]</f>
        <v>Aqaba</v>
      </c>
      <c r="B105" s="82">
        <f t="shared" si="2"/>
        <v>1</v>
      </c>
      <c r="C105" s="82">
        <v>0</v>
      </c>
      <c r="D105" s="82">
        <f>Table13[[#This Row],[Women-led]]</f>
        <v>1</v>
      </c>
      <c r="E105" s="83">
        <f t="shared" si="3"/>
        <v>1</v>
      </c>
      <c r="F105" s="92">
        <f>Table13[[#This Row],[Staff Delta]]</f>
        <v>0</v>
      </c>
      <c r="G105" s="93" t="str">
        <f>Table13[[#This Row],[Economic Sector]]</f>
        <v>Accommodation and food service activities</v>
      </c>
    </row>
    <row r="106" spans="1:7">
      <c r="A106" s="20" t="str">
        <f>Table13[[#This Row],[Governorate]]</f>
        <v>Aqaba</v>
      </c>
      <c r="B106" s="82">
        <f t="shared" si="2"/>
        <v>1</v>
      </c>
      <c r="C106" s="82">
        <v>0</v>
      </c>
      <c r="D106" s="82">
        <f>Table13[[#This Row],[Women-led]]</f>
        <v>1</v>
      </c>
      <c r="E106" s="83">
        <f t="shared" si="3"/>
        <v>1</v>
      </c>
      <c r="F106" s="92">
        <f>Table13[[#This Row],[Staff Delta]]</f>
        <v>0</v>
      </c>
      <c r="G106" s="93" t="str">
        <f>Table13[[#This Row],[Economic Sector]]</f>
        <v>Information and communication</v>
      </c>
    </row>
    <row r="107" spans="1:7">
      <c r="A107" s="20" t="str">
        <f>Table13[[#This Row],[Governorate]]</f>
        <v>Aqaba</v>
      </c>
      <c r="B107" s="82">
        <f t="shared" si="2"/>
        <v>1</v>
      </c>
      <c r="C107" s="82">
        <v>1</v>
      </c>
      <c r="D107" s="82">
        <f>Table13[[#This Row],[Women-led]]</f>
        <v>0</v>
      </c>
      <c r="E107" s="83">
        <f t="shared" si="3"/>
        <v>0</v>
      </c>
      <c r="F107" s="92">
        <f>Table13[[#This Row],[Staff Delta]]</f>
        <v>0</v>
      </c>
      <c r="G107" s="93" t="str">
        <f>Table13[[#This Row],[Economic Sector]]</f>
        <v>Information and communication</v>
      </c>
    </row>
    <row r="108" spans="1:7">
      <c r="A108" s="20" t="str">
        <f>Table13[[#This Row],[Governorate]]</f>
        <v>Aqaba</v>
      </c>
      <c r="B108" s="82">
        <f t="shared" si="2"/>
        <v>1</v>
      </c>
      <c r="C108" s="82">
        <v>0</v>
      </c>
      <c r="D108" s="82">
        <f>Table13[[#This Row],[Women-led]]</f>
        <v>1</v>
      </c>
      <c r="E108" s="83">
        <f t="shared" si="3"/>
        <v>1</v>
      </c>
      <c r="F108" s="92">
        <f>Table13[[#This Row],[Staff Delta]]</f>
        <v>3</v>
      </c>
      <c r="G108" s="93" t="str">
        <f>Table13[[#This Row],[Economic Sector]]</f>
        <v>Human health and social work activities</v>
      </c>
    </row>
    <row r="109" spans="1:7">
      <c r="A109" s="20" t="str">
        <f>Table13[[#This Row],[Governorate]]</f>
        <v>Aqaba</v>
      </c>
      <c r="B109" s="82">
        <f t="shared" si="2"/>
        <v>1</v>
      </c>
      <c r="C109" s="82">
        <v>0</v>
      </c>
      <c r="D109" s="82">
        <f>Table13[[#This Row],[Women-led]]</f>
        <v>1</v>
      </c>
      <c r="E109" s="83">
        <f t="shared" si="3"/>
        <v>1</v>
      </c>
      <c r="F109" s="92">
        <f>Table13[[#This Row],[Staff Delta]]</f>
        <v>0</v>
      </c>
      <c r="G109" s="93" t="str">
        <f>Table13[[#This Row],[Economic Sector]]</f>
        <v>Professional, scientific and technical activities</v>
      </c>
    </row>
    <row r="110" spans="1:7">
      <c r="A110" s="20" t="str">
        <f>Table13[[#This Row],[Governorate]]</f>
        <v>Aqaba</v>
      </c>
      <c r="B110" s="82">
        <f t="shared" si="2"/>
        <v>1</v>
      </c>
      <c r="C110" s="82">
        <v>0</v>
      </c>
      <c r="D110" s="82">
        <f>Table13[[#This Row],[Women-led]]</f>
        <v>1</v>
      </c>
      <c r="E110" s="83">
        <f t="shared" si="3"/>
        <v>1</v>
      </c>
      <c r="F110" s="92">
        <f>Table13[[#This Row],[Staff Delta]]</f>
        <v>0</v>
      </c>
      <c r="G110" s="93" t="str">
        <f>Table13[[#This Row],[Economic Sector]]</f>
        <v>Manufacturing</v>
      </c>
    </row>
    <row r="111" spans="1:7">
      <c r="A111" s="20" t="str">
        <f>Table13[[#This Row],[Governorate]]</f>
        <v>Aqaba</v>
      </c>
      <c r="B111" s="82">
        <f t="shared" si="2"/>
        <v>1</v>
      </c>
      <c r="C111" s="82">
        <v>0</v>
      </c>
      <c r="D111" s="82">
        <f>Table13[[#This Row],[Women-led]]</f>
        <v>1</v>
      </c>
      <c r="E111" s="83">
        <f t="shared" si="3"/>
        <v>1</v>
      </c>
      <c r="F111" s="92">
        <f>Table13[[#This Row],[Staff Delta]]</f>
        <v>0</v>
      </c>
      <c r="G111" s="93" t="str">
        <f>Table13[[#This Row],[Economic Sector]]</f>
        <v>Manufacturing</v>
      </c>
    </row>
    <row r="112" spans="1:7">
      <c r="A112" s="20" t="str">
        <f>Table13[[#This Row],[Governorate]]</f>
        <v>Aqaba</v>
      </c>
      <c r="B112" s="82">
        <f t="shared" si="2"/>
        <v>1</v>
      </c>
      <c r="C112" s="82">
        <v>1</v>
      </c>
      <c r="D112" s="82">
        <f>Table13[[#This Row],[Women-led]]</f>
        <v>0</v>
      </c>
      <c r="E112" s="83">
        <f t="shared" si="3"/>
        <v>0</v>
      </c>
      <c r="F112" s="92">
        <f>Table13[[#This Row],[Staff Delta]]</f>
        <v>2</v>
      </c>
      <c r="G112" s="93" t="str">
        <f>Table13[[#This Row],[Economic Sector]]</f>
        <v>Information and communication</v>
      </c>
    </row>
    <row r="113" spans="1:7">
      <c r="A113" s="20" t="str">
        <f>Table13[[#This Row],[Governorate]]</f>
        <v>Aqaba</v>
      </c>
      <c r="B113" s="82">
        <f t="shared" si="2"/>
        <v>1</v>
      </c>
      <c r="C113" s="82">
        <v>1</v>
      </c>
      <c r="D113" s="82">
        <f>Table13[[#This Row],[Women-led]]</f>
        <v>0</v>
      </c>
      <c r="E113" s="83">
        <f t="shared" si="3"/>
        <v>0</v>
      </c>
      <c r="F113" s="92">
        <f>Table13[[#This Row],[Staff Delta]]</f>
        <v>0</v>
      </c>
      <c r="G113" s="93" t="str">
        <f>Table13[[#This Row],[Economic Sector]]</f>
        <v>Administrative and support service activities</v>
      </c>
    </row>
    <row r="114" spans="1:7">
      <c r="A114" s="20" t="str">
        <f>Table13[[#This Row],[Governorate]]</f>
        <v>Aqaba</v>
      </c>
      <c r="B114" s="82">
        <f t="shared" si="2"/>
        <v>1</v>
      </c>
      <c r="C114" s="82">
        <v>1</v>
      </c>
      <c r="D114" s="82">
        <f>Table13[[#This Row],[Women-led]]</f>
        <v>0</v>
      </c>
      <c r="E114" s="83">
        <f t="shared" si="3"/>
        <v>0</v>
      </c>
      <c r="F114" s="92">
        <f>Table13[[#This Row],[Staff Delta]]</f>
        <v>1</v>
      </c>
      <c r="G114" s="93" t="str">
        <f>Table13[[#This Row],[Economic Sector]]</f>
        <v>Water supply; sewerage, waste management and remediation activities</v>
      </c>
    </row>
    <row r="115" spans="1:7">
      <c r="A115" s="20" t="str">
        <f>Table13[[#This Row],[Governorate]]</f>
        <v>Aqaba</v>
      </c>
      <c r="B115" s="82">
        <f t="shared" si="2"/>
        <v>1</v>
      </c>
      <c r="C115" s="82">
        <v>1</v>
      </c>
      <c r="D115" s="82">
        <f>Table13[[#This Row],[Women-led]]</f>
        <v>0</v>
      </c>
      <c r="E115" s="83">
        <f t="shared" si="3"/>
        <v>0</v>
      </c>
      <c r="F115" s="92">
        <f>Table13[[#This Row],[Staff Delta]]</f>
        <v>0</v>
      </c>
      <c r="G115" s="93" t="str">
        <f>Table13[[#This Row],[Economic Sector]]</f>
        <v>Accommodation and food service activities</v>
      </c>
    </row>
    <row r="116" spans="1:7">
      <c r="A116" s="20" t="str">
        <f>Table13[[#This Row],[Governorate]]</f>
        <v>Aqaba</v>
      </c>
      <c r="B116" s="82">
        <f t="shared" si="2"/>
        <v>1</v>
      </c>
      <c r="C116" s="82">
        <v>1</v>
      </c>
      <c r="D116" s="82">
        <f>Table13[[#This Row],[Women-led]]</f>
        <v>0</v>
      </c>
      <c r="E116" s="83">
        <f t="shared" si="3"/>
        <v>0</v>
      </c>
      <c r="F116" s="92">
        <f>Table13[[#This Row],[Staff Delta]]</f>
        <v>1</v>
      </c>
      <c r="G116" s="93" t="str">
        <f>Table13[[#This Row],[Economic Sector]]</f>
        <v>Arts, entertainment and recreation</v>
      </c>
    </row>
    <row r="117" spans="1:7">
      <c r="A117" s="20" t="str">
        <f>Table13[[#This Row],[Governorate]]</f>
        <v>Aqaba</v>
      </c>
      <c r="B117" s="82">
        <f t="shared" si="2"/>
        <v>1</v>
      </c>
      <c r="C117" s="82">
        <v>0</v>
      </c>
      <c r="D117" s="82">
        <f>Table13[[#This Row],[Women-led]]</f>
        <v>1</v>
      </c>
      <c r="E117" s="83">
        <f t="shared" si="3"/>
        <v>1</v>
      </c>
      <c r="F117" s="92">
        <f>Table13[[#This Row],[Staff Delta]]</f>
        <v>0</v>
      </c>
      <c r="G117" s="93" t="str">
        <f>Table13[[#This Row],[Economic Sector]]</f>
        <v>Information and communication</v>
      </c>
    </row>
    <row r="118" spans="1:7">
      <c r="A118" s="20" t="str">
        <f>Table13[[#This Row],[Governorate]]</f>
        <v>Aqaba</v>
      </c>
      <c r="B118" s="82">
        <f t="shared" si="2"/>
        <v>1</v>
      </c>
      <c r="C118" s="82">
        <v>0</v>
      </c>
      <c r="D118" s="82">
        <f>Table13[[#This Row],[Women-led]]</f>
        <v>1</v>
      </c>
      <c r="E118" s="83">
        <f t="shared" si="3"/>
        <v>1</v>
      </c>
      <c r="F118" s="92">
        <f>Table13[[#This Row],[Staff Delta]]</f>
        <v>6</v>
      </c>
      <c r="G118" s="93" t="str">
        <f>Table13[[#This Row],[Economic Sector]]</f>
        <v>Real estate activities</v>
      </c>
    </row>
    <row r="119" spans="1:7">
      <c r="A119" s="20" t="str">
        <f>Table13[[#This Row],[Governorate]]</f>
        <v>Aqaba</v>
      </c>
      <c r="B119" s="82">
        <f t="shared" si="2"/>
        <v>1</v>
      </c>
      <c r="C119" s="82">
        <v>1</v>
      </c>
      <c r="D119" s="82">
        <f>Table13[[#This Row],[Women-led]]</f>
        <v>0</v>
      </c>
      <c r="E119" s="83">
        <f t="shared" si="3"/>
        <v>0</v>
      </c>
      <c r="F119" s="92">
        <f>Table13[[#This Row],[Staff Delta]]</f>
        <v>0</v>
      </c>
      <c r="G119" s="93" t="str">
        <f>Table13[[#This Row],[Economic Sector]]</f>
        <v>Arts, entertainment and recreation</v>
      </c>
    </row>
    <row r="120" spans="1:7">
      <c r="A120" s="20" t="str">
        <f>Table13[[#This Row],[Governorate]]</f>
        <v>Aqaba</v>
      </c>
      <c r="B120" s="82">
        <f t="shared" si="2"/>
        <v>1</v>
      </c>
      <c r="C120" s="82">
        <v>0</v>
      </c>
      <c r="D120" s="82">
        <f>Table13[[#This Row],[Women-led]]</f>
        <v>1</v>
      </c>
      <c r="E120" s="83">
        <f t="shared" si="3"/>
        <v>1</v>
      </c>
      <c r="F120" s="92">
        <f>Table13[[#This Row],[Staff Delta]]</f>
        <v>1</v>
      </c>
      <c r="G120" s="93" t="str">
        <f>Table13[[#This Row],[Economic Sector]]</f>
        <v>Agriculture, forestry and fishing</v>
      </c>
    </row>
    <row r="121" spans="1:7">
      <c r="A121" s="20" t="str">
        <f>Table13[[#This Row],[Governorate]]</f>
        <v>Aqaba</v>
      </c>
      <c r="B121" s="82">
        <f t="shared" si="2"/>
        <v>1</v>
      </c>
      <c r="C121" s="82">
        <v>0</v>
      </c>
      <c r="D121" s="82">
        <f>Table13[[#This Row],[Women-led]]</f>
        <v>1</v>
      </c>
      <c r="E121" s="83">
        <f t="shared" si="3"/>
        <v>1</v>
      </c>
      <c r="F121" s="92">
        <f>Table13[[#This Row],[Staff Delta]]</f>
        <v>0</v>
      </c>
      <c r="G121" s="93" t="str">
        <f>Table13[[#This Row],[Economic Sector]]</f>
        <v>Human health and social work activities</v>
      </c>
    </row>
    <row r="122" spans="1:7">
      <c r="A122" s="20" t="str">
        <f>Table13[[#This Row],[Governorate]]</f>
        <v>Aqaba</v>
      </c>
      <c r="B122" s="82">
        <f t="shared" si="2"/>
        <v>1</v>
      </c>
      <c r="C122" s="82">
        <v>0</v>
      </c>
      <c r="D122" s="82">
        <f>Table13[[#This Row],[Women-led]]</f>
        <v>1</v>
      </c>
      <c r="E122" s="83">
        <f t="shared" si="3"/>
        <v>1</v>
      </c>
      <c r="F122" s="92">
        <f>Table13[[#This Row],[Staff Delta]]</f>
        <v>0</v>
      </c>
      <c r="G122" s="93" t="str">
        <f>Table13[[#This Row],[Economic Sector]]</f>
        <v>Accommodation and food service activities</v>
      </c>
    </row>
    <row r="123" spans="1:7">
      <c r="A123" s="20" t="str">
        <f>Table13[[#This Row],[Governorate]]</f>
        <v>Aqaba</v>
      </c>
      <c r="B123" s="82">
        <f t="shared" si="2"/>
        <v>1</v>
      </c>
      <c r="C123" s="82">
        <v>0</v>
      </c>
      <c r="D123" s="82">
        <f>Table13[[#This Row],[Women-led]]</f>
        <v>1</v>
      </c>
      <c r="E123" s="83">
        <f t="shared" si="3"/>
        <v>1</v>
      </c>
      <c r="F123" s="92">
        <f>Table13[[#This Row],[Staff Delta]]</f>
        <v>0</v>
      </c>
      <c r="G123" s="93" t="str">
        <f>Table13[[#This Row],[Economic Sector]]</f>
        <v>Human health and social work activities</v>
      </c>
    </row>
    <row r="124" spans="1:7">
      <c r="A124" s="20" t="str">
        <f>Table13[[#This Row],[Governorate]]</f>
        <v>Aqaba</v>
      </c>
      <c r="B124" s="82">
        <f t="shared" si="2"/>
        <v>1</v>
      </c>
      <c r="C124" s="82">
        <v>0</v>
      </c>
      <c r="D124" s="82">
        <f>Table13[[#This Row],[Women-led]]</f>
        <v>1</v>
      </c>
      <c r="E124" s="83">
        <f t="shared" si="3"/>
        <v>1</v>
      </c>
      <c r="F124" s="92">
        <f>Table13[[#This Row],[Staff Delta]]</f>
        <v>0</v>
      </c>
      <c r="G124" s="93" t="str">
        <f>Table13[[#This Row],[Economic Sector]]</f>
        <v>Information and communication</v>
      </c>
    </row>
    <row r="125" spans="1:7">
      <c r="A125" s="20" t="str">
        <f>Table13[[#This Row],[Governorate]]</f>
        <v>Aqaba</v>
      </c>
      <c r="B125" s="82">
        <f t="shared" si="2"/>
        <v>1</v>
      </c>
      <c r="C125" s="82">
        <v>1</v>
      </c>
      <c r="D125" s="82">
        <f>Table13[[#This Row],[Women-led]]</f>
        <v>0</v>
      </c>
      <c r="E125" s="83">
        <f t="shared" si="3"/>
        <v>0</v>
      </c>
      <c r="F125" s="92">
        <f>Table13[[#This Row],[Staff Delta]]</f>
        <v>0</v>
      </c>
      <c r="G125" s="93" t="str">
        <f>Table13[[#This Row],[Economic Sector]]</f>
        <v>Education</v>
      </c>
    </row>
    <row r="126" spans="1:7">
      <c r="A126" s="20" t="str">
        <f>Table13[[#This Row],[Governorate]]</f>
        <v>Aqaba</v>
      </c>
      <c r="B126" s="82">
        <f t="shared" si="2"/>
        <v>1</v>
      </c>
      <c r="C126" s="82">
        <v>1</v>
      </c>
      <c r="D126" s="82">
        <f>Table13[[#This Row],[Women-led]]</f>
        <v>0</v>
      </c>
      <c r="E126" s="83">
        <f t="shared" si="3"/>
        <v>0</v>
      </c>
      <c r="F126" s="92">
        <f>Table13[[#This Row],[Staff Delta]]</f>
        <v>5</v>
      </c>
      <c r="G126" s="93" t="str">
        <f>Table13[[#This Row],[Economic Sector]]</f>
        <v>Administrative and support service activities</v>
      </c>
    </row>
    <row r="127" spans="1:7">
      <c r="A127" s="20" t="str">
        <f>Table13[[#This Row],[Governorate]]</f>
        <v>Aqaba</v>
      </c>
      <c r="B127" s="82">
        <f t="shared" si="2"/>
        <v>1</v>
      </c>
      <c r="C127" s="82">
        <v>0</v>
      </c>
      <c r="D127" s="82">
        <f>Table13[[#This Row],[Women-led]]</f>
        <v>1</v>
      </c>
      <c r="E127" s="83">
        <f t="shared" si="3"/>
        <v>1</v>
      </c>
      <c r="F127" s="92">
        <f>Table13[[#This Row],[Staff Delta]]</f>
        <v>0</v>
      </c>
      <c r="G127" s="93" t="str">
        <f>Table13[[#This Row],[Economic Sector]]</f>
        <v>Agriculture, forestry and fishing</v>
      </c>
    </row>
    <row r="128" spans="1:7">
      <c r="A128" s="20" t="str">
        <f>Table13[[#This Row],[Governorate]]</f>
        <v>Aqaba</v>
      </c>
      <c r="B128" s="82">
        <f t="shared" si="2"/>
        <v>1</v>
      </c>
      <c r="C128" s="82">
        <v>0</v>
      </c>
      <c r="D128" s="82">
        <f>Table13[[#This Row],[Women-led]]</f>
        <v>1</v>
      </c>
      <c r="E128" s="83">
        <f t="shared" si="3"/>
        <v>1</v>
      </c>
      <c r="F128" s="92">
        <f>Table13[[#This Row],[Staff Delta]]</f>
        <v>0</v>
      </c>
      <c r="G128" s="93" t="str">
        <f>Table13[[#This Row],[Economic Sector]]</f>
        <v>Manufacturing</v>
      </c>
    </row>
    <row r="129" spans="1:7">
      <c r="A129" s="20" t="str">
        <f>Table13[[#This Row],[Governorate]]</f>
        <v>Aqaba</v>
      </c>
      <c r="B129" s="82">
        <f t="shared" si="2"/>
        <v>1</v>
      </c>
      <c r="C129" s="82">
        <v>0</v>
      </c>
      <c r="D129" s="82">
        <f>Table13[[#This Row],[Women-led]]</f>
        <v>1</v>
      </c>
      <c r="E129" s="83">
        <f t="shared" si="3"/>
        <v>1</v>
      </c>
      <c r="F129" s="92">
        <f>Table13[[#This Row],[Staff Delta]]</f>
        <v>0</v>
      </c>
      <c r="G129" s="93" t="str">
        <f>Table13[[#This Row],[Economic Sector]]</f>
        <v>Human health and social work activities</v>
      </c>
    </row>
    <row r="130" spans="1:7">
      <c r="A130" s="20" t="str">
        <f>Table13[[#This Row],[Governorate]]</f>
        <v>Aqaba</v>
      </c>
      <c r="B130" s="82">
        <f t="shared" si="2"/>
        <v>1</v>
      </c>
      <c r="C130" s="82">
        <v>0</v>
      </c>
      <c r="D130" s="82">
        <f>Table13[[#This Row],[Women-led]]</f>
        <v>1</v>
      </c>
      <c r="E130" s="83">
        <f t="shared" si="3"/>
        <v>1</v>
      </c>
      <c r="F130" s="92">
        <f>Table13[[#This Row],[Staff Delta]]</f>
        <v>1</v>
      </c>
      <c r="G130" s="93" t="str">
        <f>Table13[[#This Row],[Economic Sector]]</f>
        <v>Manufacturing</v>
      </c>
    </row>
    <row r="131" spans="1:7">
      <c r="A131" s="20" t="str">
        <f>Table13[[#This Row],[Governorate]]</f>
        <v>Aqaba</v>
      </c>
      <c r="B131" s="82">
        <f t="shared" si="2"/>
        <v>1</v>
      </c>
      <c r="C131" s="82">
        <v>0</v>
      </c>
      <c r="D131" s="82">
        <f>Table13[[#This Row],[Women-led]]</f>
        <v>1</v>
      </c>
      <c r="E131" s="83">
        <f t="shared" si="3"/>
        <v>1</v>
      </c>
      <c r="F131" s="92">
        <f>Table13[[#This Row],[Staff Delta]]</f>
        <v>0</v>
      </c>
      <c r="G131" s="93">
        <f>Table13[[#This Row],[Economic Sector]]</f>
        <v>0</v>
      </c>
    </row>
    <row r="132" spans="1:7">
      <c r="A132" s="20" t="str">
        <f>Table13[[#This Row],[Governorate]]</f>
        <v>Aqaba</v>
      </c>
      <c r="B132" s="82">
        <f t="shared" si="2"/>
        <v>1</v>
      </c>
      <c r="C132" s="82">
        <v>1</v>
      </c>
      <c r="D132" s="82">
        <f>Table13[[#This Row],[Women-led]]</f>
        <v>0</v>
      </c>
      <c r="E132" s="83">
        <f t="shared" si="3"/>
        <v>0</v>
      </c>
      <c r="F132" s="92">
        <f>Table13[[#This Row],[Staff Delta]]</f>
        <v>0</v>
      </c>
      <c r="G132" s="93" t="str">
        <f>Table13[[#This Row],[Economic Sector]]</f>
        <v>Manufacturing</v>
      </c>
    </row>
    <row r="133" spans="1:7">
      <c r="A133" s="20" t="str">
        <f>Table13[[#This Row],[Governorate]]</f>
        <v>Aqaba</v>
      </c>
      <c r="B133" s="82">
        <f t="shared" si="2"/>
        <v>1</v>
      </c>
      <c r="C133" s="82">
        <v>0</v>
      </c>
      <c r="D133" s="82">
        <f>Table13[[#This Row],[Women-led]]</f>
        <v>1</v>
      </c>
      <c r="E133" s="83">
        <f t="shared" si="3"/>
        <v>1</v>
      </c>
      <c r="F133" s="92">
        <f>Table13[[#This Row],[Staff Delta]]</f>
        <v>0</v>
      </c>
      <c r="G133" s="93" t="str">
        <f>Table13[[#This Row],[Economic Sector]]</f>
        <v>Manufacturing</v>
      </c>
    </row>
    <row r="134" spans="1:7">
      <c r="A134" s="20" t="str">
        <f>Table13[[#This Row],[Governorate]]</f>
        <v>Aqaba</v>
      </c>
      <c r="B134" s="82">
        <f t="shared" ref="B134:B197" si="4">C134+D134</f>
        <v>1</v>
      </c>
      <c r="C134" s="82">
        <v>0</v>
      </c>
      <c r="D134" s="82">
        <f>Table13[[#This Row],[Women-led]]</f>
        <v>1</v>
      </c>
      <c r="E134" s="83">
        <f t="shared" ref="E134:E197" si="5">IF(OR(B134="",D134=""),"",IFERROR(D134/B134,""))</f>
        <v>1</v>
      </c>
      <c r="F134" s="92">
        <f>Table13[[#This Row],[Staff Delta]]</f>
        <v>0</v>
      </c>
      <c r="G134" s="93" t="str">
        <f>Table13[[#This Row],[Economic Sector]]</f>
        <v>Arts, entertainment and recreation</v>
      </c>
    </row>
    <row r="135" spans="1:7">
      <c r="A135" s="20" t="str">
        <f>Table13[[#This Row],[Governorate]]</f>
        <v>Aqaba</v>
      </c>
      <c r="B135" s="82">
        <f t="shared" si="4"/>
        <v>1</v>
      </c>
      <c r="C135" s="82">
        <v>1</v>
      </c>
      <c r="D135" s="82">
        <f>Table13[[#This Row],[Women-led]]</f>
        <v>0</v>
      </c>
      <c r="E135" s="83">
        <f t="shared" si="5"/>
        <v>0</v>
      </c>
      <c r="F135" s="92">
        <f>Table13[[#This Row],[Staff Delta]]</f>
        <v>3</v>
      </c>
      <c r="G135" s="93" t="str">
        <f>Table13[[#This Row],[Economic Sector]]</f>
        <v>Professional, scientific and technical activities</v>
      </c>
    </row>
    <row r="136" spans="1:7">
      <c r="A136" s="20" t="str">
        <f>Table13[[#This Row],[Governorate]]</f>
        <v>Aqaba</v>
      </c>
      <c r="B136" s="82">
        <f t="shared" si="4"/>
        <v>1</v>
      </c>
      <c r="C136" s="82">
        <v>0</v>
      </c>
      <c r="D136" s="82">
        <f>Table13[[#This Row],[Women-led]]</f>
        <v>1</v>
      </c>
      <c r="E136" s="83">
        <f t="shared" si="5"/>
        <v>1</v>
      </c>
      <c r="F136" s="92">
        <f>Table13[[#This Row],[Staff Delta]]</f>
        <v>1</v>
      </c>
      <c r="G136" s="93" t="str">
        <f>Table13[[#This Row],[Economic Sector]]</f>
        <v>Construction</v>
      </c>
    </row>
    <row r="137" spans="1:7">
      <c r="A137" s="20" t="str">
        <f>Table13[[#This Row],[Governorate]]</f>
        <v>Aqaba</v>
      </c>
      <c r="B137" s="82">
        <f t="shared" si="4"/>
        <v>1</v>
      </c>
      <c r="C137" s="82">
        <v>0</v>
      </c>
      <c r="D137" s="82">
        <f>Table13[[#This Row],[Women-led]]</f>
        <v>1</v>
      </c>
      <c r="E137" s="83">
        <f t="shared" si="5"/>
        <v>1</v>
      </c>
      <c r="F137" s="92">
        <f>Table13[[#This Row],[Staff Delta]]</f>
        <v>5</v>
      </c>
      <c r="G137" s="93" t="str">
        <f>Table13[[#This Row],[Economic Sector]]</f>
        <v>Financial and insurance activities</v>
      </c>
    </row>
    <row r="138" spans="1:7">
      <c r="A138" s="20" t="str">
        <f>Table13[[#This Row],[Governorate]]</f>
        <v>Aqaba</v>
      </c>
      <c r="B138" s="82">
        <f t="shared" si="4"/>
        <v>1</v>
      </c>
      <c r="C138" s="82">
        <v>1</v>
      </c>
      <c r="D138" s="82">
        <f>Table13[[#This Row],[Women-led]]</f>
        <v>0</v>
      </c>
      <c r="E138" s="83">
        <f t="shared" si="5"/>
        <v>0</v>
      </c>
      <c r="F138" s="92">
        <f>Table13[[#This Row],[Staff Delta]]</f>
        <v>2</v>
      </c>
      <c r="G138" s="93" t="str">
        <f>Table13[[#This Row],[Economic Sector]]</f>
        <v>Accommodation and food service activities</v>
      </c>
    </row>
    <row r="139" spans="1:7">
      <c r="A139" s="20" t="str">
        <f>Table13[[#This Row],[Governorate]]</f>
        <v>Aqaba</v>
      </c>
      <c r="B139" s="82">
        <f t="shared" si="4"/>
        <v>1</v>
      </c>
      <c r="C139" s="82">
        <v>0</v>
      </c>
      <c r="D139" s="82">
        <f>Table13[[#This Row],[Women-led]]</f>
        <v>1</v>
      </c>
      <c r="E139" s="83">
        <f t="shared" si="5"/>
        <v>1</v>
      </c>
      <c r="F139" s="92">
        <f>Table13[[#This Row],[Staff Delta]]</f>
        <v>0</v>
      </c>
      <c r="G139" s="93" t="str">
        <f>Table13[[#This Row],[Economic Sector]]</f>
        <v>Manufacturing</v>
      </c>
    </row>
    <row r="140" spans="1:7">
      <c r="A140" s="20" t="str">
        <f>Table13[[#This Row],[Governorate]]</f>
        <v>Aqaba</v>
      </c>
      <c r="B140" s="82">
        <f t="shared" si="4"/>
        <v>1</v>
      </c>
      <c r="C140" s="82">
        <v>0</v>
      </c>
      <c r="D140" s="82">
        <f>Table13[[#This Row],[Women-led]]</f>
        <v>1</v>
      </c>
      <c r="E140" s="83">
        <f t="shared" si="5"/>
        <v>1</v>
      </c>
      <c r="F140" s="92">
        <f>Table13[[#This Row],[Staff Delta]]</f>
        <v>0</v>
      </c>
      <c r="G140" s="93" t="str">
        <f>Table13[[#This Row],[Economic Sector]]</f>
        <v>Accommodation and food service activities</v>
      </c>
    </row>
    <row r="141" spans="1:7">
      <c r="A141" s="20" t="str">
        <f>Table13[[#This Row],[Governorate]]</f>
        <v>Aqaba</v>
      </c>
      <c r="B141" s="82">
        <f t="shared" si="4"/>
        <v>1</v>
      </c>
      <c r="C141" s="82">
        <v>1</v>
      </c>
      <c r="D141" s="82">
        <f>Table13[[#This Row],[Women-led]]</f>
        <v>0</v>
      </c>
      <c r="E141" s="83">
        <f t="shared" si="5"/>
        <v>0</v>
      </c>
      <c r="F141" s="92">
        <f>Table13[[#This Row],[Staff Delta]]</f>
        <v>0</v>
      </c>
      <c r="G141" s="93" t="str">
        <f>Table13[[#This Row],[Economic Sector]]</f>
        <v>Professional, scientific and technical activities</v>
      </c>
    </row>
    <row r="142" spans="1:7">
      <c r="A142" s="20" t="str">
        <f>Table13[[#This Row],[Governorate]]</f>
        <v>Aqaba</v>
      </c>
      <c r="B142" s="82">
        <f t="shared" si="4"/>
        <v>1</v>
      </c>
      <c r="C142" s="82">
        <v>0</v>
      </c>
      <c r="D142" s="82">
        <f>Table13[[#This Row],[Women-led]]</f>
        <v>1</v>
      </c>
      <c r="E142" s="83">
        <f t="shared" si="5"/>
        <v>1</v>
      </c>
      <c r="F142" s="92">
        <f>Table13[[#This Row],[Staff Delta]]</f>
        <v>0</v>
      </c>
      <c r="G142" s="93" t="str">
        <f>Table13[[#This Row],[Economic Sector]]</f>
        <v>Human health and social work activities</v>
      </c>
    </row>
    <row r="143" spans="1:7">
      <c r="A143" s="20" t="str">
        <f>Table13[[#This Row],[Governorate]]</f>
        <v>Aqaba</v>
      </c>
      <c r="B143" s="82">
        <f t="shared" si="4"/>
        <v>1</v>
      </c>
      <c r="C143" s="82">
        <v>0</v>
      </c>
      <c r="D143" s="82">
        <f>Table13[[#This Row],[Women-led]]</f>
        <v>1</v>
      </c>
      <c r="E143" s="83">
        <f t="shared" si="5"/>
        <v>1</v>
      </c>
      <c r="F143" s="92">
        <f>Table13[[#This Row],[Staff Delta]]</f>
        <v>1</v>
      </c>
      <c r="G143" s="93" t="str">
        <f>Table13[[#This Row],[Economic Sector]]</f>
        <v>Manufacturing</v>
      </c>
    </row>
    <row r="144" spans="1:7">
      <c r="A144" s="20" t="str">
        <f>Table13[[#This Row],[Governorate]]</f>
        <v>Aqaba</v>
      </c>
      <c r="B144" s="82">
        <f t="shared" si="4"/>
        <v>1</v>
      </c>
      <c r="C144" s="82">
        <v>1</v>
      </c>
      <c r="D144" s="82">
        <f>Table13[[#This Row],[Women-led]]</f>
        <v>0</v>
      </c>
      <c r="E144" s="83">
        <f t="shared" si="5"/>
        <v>0</v>
      </c>
      <c r="F144" s="92">
        <f>Table13[[#This Row],[Staff Delta]]</f>
        <v>0</v>
      </c>
      <c r="G144" s="93" t="str">
        <f>Table13[[#This Row],[Economic Sector]]</f>
        <v>Information and communication</v>
      </c>
    </row>
    <row r="145" spans="1:7">
      <c r="A145" s="20" t="str">
        <f>Table13[[#This Row],[Governorate]]</f>
        <v>Aqaba</v>
      </c>
      <c r="B145" s="82">
        <f t="shared" si="4"/>
        <v>1</v>
      </c>
      <c r="C145" s="82">
        <v>0</v>
      </c>
      <c r="D145" s="82">
        <f>Table13[[#This Row],[Women-led]]</f>
        <v>1</v>
      </c>
      <c r="E145" s="83">
        <f t="shared" si="5"/>
        <v>1</v>
      </c>
      <c r="F145" s="92">
        <f>Table13[[#This Row],[Staff Delta]]</f>
        <v>0</v>
      </c>
      <c r="G145" s="93" t="str">
        <f>Table13[[#This Row],[Economic Sector]]</f>
        <v>Professional, scientific and technical activities</v>
      </c>
    </row>
    <row r="146" spans="1:7">
      <c r="A146" s="20" t="str">
        <f>Table13[[#This Row],[Governorate]]</f>
        <v>Aqaba</v>
      </c>
      <c r="B146" s="82">
        <f t="shared" si="4"/>
        <v>1</v>
      </c>
      <c r="C146" s="82">
        <v>0</v>
      </c>
      <c r="D146" s="82">
        <f>Table13[[#This Row],[Women-led]]</f>
        <v>1</v>
      </c>
      <c r="E146" s="83">
        <f t="shared" si="5"/>
        <v>1</v>
      </c>
      <c r="F146" s="92">
        <f>Table13[[#This Row],[Staff Delta]]</f>
        <v>0</v>
      </c>
      <c r="G146" s="93" t="str">
        <f>Table13[[#This Row],[Economic Sector]]</f>
        <v>Manufacturing</v>
      </c>
    </row>
    <row r="147" spans="1:7">
      <c r="A147" s="20" t="str">
        <f>Table13[[#This Row],[Governorate]]</f>
        <v>Aqaba</v>
      </c>
      <c r="B147" s="82">
        <f t="shared" si="4"/>
        <v>1</v>
      </c>
      <c r="C147" s="82">
        <v>0</v>
      </c>
      <c r="D147" s="82">
        <f>Table13[[#This Row],[Women-led]]</f>
        <v>1</v>
      </c>
      <c r="E147" s="83">
        <f t="shared" si="5"/>
        <v>1</v>
      </c>
      <c r="F147" s="92">
        <f>Table13[[#This Row],[Staff Delta]]</f>
        <v>0</v>
      </c>
      <c r="G147" s="93" t="str">
        <f>Table13[[#This Row],[Economic Sector]]</f>
        <v>Administrative and support service activities</v>
      </c>
    </row>
    <row r="148" spans="1:7">
      <c r="A148" s="20" t="str">
        <f>Table13[[#This Row],[Governorate]]</f>
        <v>Aqaba</v>
      </c>
      <c r="B148" s="82">
        <f t="shared" si="4"/>
        <v>1</v>
      </c>
      <c r="C148" s="82">
        <v>1</v>
      </c>
      <c r="D148" s="82">
        <f>Table13[[#This Row],[Women-led]]</f>
        <v>0</v>
      </c>
      <c r="E148" s="83">
        <f t="shared" si="5"/>
        <v>0</v>
      </c>
      <c r="F148" s="92">
        <f>Table13[[#This Row],[Staff Delta]]</f>
        <v>3</v>
      </c>
      <c r="G148" s="93" t="str">
        <f>Table13[[#This Row],[Economic Sector]]</f>
        <v>Administrative and support service activities</v>
      </c>
    </row>
    <row r="149" spans="1:7">
      <c r="A149" s="20" t="str">
        <f>Table13[[#This Row],[Governorate]]</f>
        <v>Aqaba</v>
      </c>
      <c r="B149" s="82">
        <f t="shared" si="4"/>
        <v>1</v>
      </c>
      <c r="C149" s="82">
        <v>0</v>
      </c>
      <c r="D149" s="82">
        <f>Table13[[#This Row],[Women-led]]</f>
        <v>1</v>
      </c>
      <c r="E149" s="83">
        <f t="shared" si="5"/>
        <v>1</v>
      </c>
      <c r="F149" s="92">
        <f>Table13[[#This Row],[Staff Delta]]</f>
        <v>0</v>
      </c>
      <c r="G149" s="93" t="str">
        <f>Table13[[#This Row],[Economic Sector]]</f>
        <v>Manufacturing</v>
      </c>
    </row>
    <row r="150" spans="1:7">
      <c r="A150" s="20" t="str">
        <f>Table13[[#This Row],[Governorate]]</f>
        <v>Aqaba</v>
      </c>
      <c r="B150" s="82">
        <f t="shared" si="4"/>
        <v>1</v>
      </c>
      <c r="C150" s="82">
        <v>0</v>
      </c>
      <c r="D150" s="82">
        <f>Table13[[#This Row],[Women-led]]</f>
        <v>1</v>
      </c>
      <c r="E150" s="83">
        <f t="shared" si="5"/>
        <v>1</v>
      </c>
      <c r="F150" s="92">
        <f>Table13[[#This Row],[Staff Delta]]</f>
        <v>2</v>
      </c>
      <c r="G150" s="93" t="str">
        <f>Table13[[#This Row],[Economic Sector]]</f>
        <v>Manufacturing</v>
      </c>
    </row>
    <row r="151" spans="1:7">
      <c r="A151" s="20" t="str">
        <f>Table13[[#This Row],[Governorate]]</f>
        <v>Aqaba</v>
      </c>
      <c r="B151" s="82">
        <f t="shared" si="4"/>
        <v>1</v>
      </c>
      <c r="C151" s="82">
        <v>0</v>
      </c>
      <c r="D151" s="82">
        <f>Table13[[#This Row],[Women-led]]</f>
        <v>1</v>
      </c>
      <c r="E151" s="83">
        <f t="shared" si="5"/>
        <v>1</v>
      </c>
      <c r="F151" s="92">
        <f>Table13[[#This Row],[Staff Delta]]</f>
        <v>0</v>
      </c>
      <c r="G151" s="93" t="str">
        <f>Table13[[#This Row],[Economic Sector]]</f>
        <v>Arts, entertainment and recreation</v>
      </c>
    </row>
    <row r="152" spans="1:7">
      <c r="A152" s="20" t="str">
        <f>Table13[[#This Row],[Governorate]]</f>
        <v>Aqaba</v>
      </c>
      <c r="B152" s="82">
        <f t="shared" si="4"/>
        <v>1</v>
      </c>
      <c r="C152" s="82">
        <v>1</v>
      </c>
      <c r="D152" s="82">
        <f>Table13[[#This Row],[Women-led]]</f>
        <v>0</v>
      </c>
      <c r="E152" s="83">
        <f t="shared" si="5"/>
        <v>0</v>
      </c>
      <c r="F152" s="92">
        <f>Table13[[#This Row],[Staff Delta]]</f>
        <v>1</v>
      </c>
      <c r="G152" s="93" t="str">
        <f>Table13[[#This Row],[Economic Sector]]</f>
        <v>Agriculture, forestry and fishing</v>
      </c>
    </row>
    <row r="153" spans="1:7">
      <c r="A153" s="20" t="str">
        <f>Table13[[#This Row],[Governorate]]</f>
        <v>Aqaba</v>
      </c>
      <c r="B153" s="82">
        <f t="shared" si="4"/>
        <v>1</v>
      </c>
      <c r="C153" s="82">
        <v>0</v>
      </c>
      <c r="D153" s="82">
        <f>Table13[[#This Row],[Women-led]]</f>
        <v>1</v>
      </c>
      <c r="E153" s="83">
        <f t="shared" si="5"/>
        <v>1</v>
      </c>
      <c r="F153" s="92">
        <f>Table13[[#This Row],[Staff Delta]]</f>
        <v>0</v>
      </c>
      <c r="G153" s="93" t="str">
        <f>Table13[[#This Row],[Economic Sector]]</f>
        <v>Accommodation and food service activities</v>
      </c>
    </row>
    <row r="154" spans="1:7">
      <c r="A154" s="20" t="str">
        <f>Table13[[#This Row],[Governorate]]</f>
        <v>Aqaba</v>
      </c>
      <c r="B154" s="82">
        <f t="shared" si="4"/>
        <v>1</v>
      </c>
      <c r="C154" s="82">
        <v>1</v>
      </c>
      <c r="D154" s="82">
        <f>Table13[[#This Row],[Women-led]]</f>
        <v>0</v>
      </c>
      <c r="E154" s="83">
        <f t="shared" si="5"/>
        <v>0</v>
      </c>
      <c r="F154" s="92">
        <f>Table13[[#This Row],[Staff Delta]]</f>
        <v>0</v>
      </c>
      <c r="G154" s="93" t="str">
        <f>Table13[[#This Row],[Economic Sector]]</f>
        <v>Agriculture, forestry and fishing</v>
      </c>
    </row>
    <row r="155" spans="1:7">
      <c r="A155" s="20" t="str">
        <f>Table13[[#This Row],[Governorate]]</f>
        <v>Aqaba</v>
      </c>
      <c r="B155" s="82">
        <f t="shared" si="4"/>
        <v>1</v>
      </c>
      <c r="C155" s="82">
        <v>0</v>
      </c>
      <c r="D155" s="82">
        <f>Table13[[#This Row],[Women-led]]</f>
        <v>1</v>
      </c>
      <c r="E155" s="83">
        <f t="shared" si="5"/>
        <v>1</v>
      </c>
      <c r="F155" s="92">
        <f>Table13[[#This Row],[Staff Delta]]</f>
        <v>0</v>
      </c>
      <c r="G155" s="93" t="str">
        <f>Table13[[#This Row],[Economic Sector]]</f>
        <v>Manufacturing</v>
      </c>
    </row>
    <row r="156" spans="1:7">
      <c r="A156" s="20" t="str">
        <f>Table13[[#This Row],[Governorate]]</f>
        <v>Aqaba</v>
      </c>
      <c r="B156" s="82">
        <f t="shared" si="4"/>
        <v>1</v>
      </c>
      <c r="C156" s="82">
        <v>0</v>
      </c>
      <c r="D156" s="82">
        <f>Table13[[#This Row],[Women-led]]</f>
        <v>1</v>
      </c>
      <c r="E156" s="83">
        <f t="shared" si="5"/>
        <v>1</v>
      </c>
      <c r="F156" s="92">
        <f>Table13[[#This Row],[Staff Delta]]</f>
        <v>0</v>
      </c>
      <c r="G156" s="93" t="str">
        <f>Table13[[#This Row],[Economic Sector]]</f>
        <v>Information and communication</v>
      </c>
    </row>
    <row r="157" spans="1:7">
      <c r="A157" s="20" t="str">
        <f>Table13[[#This Row],[Governorate]]</f>
        <v>Aqaba</v>
      </c>
      <c r="B157" s="82">
        <f t="shared" si="4"/>
        <v>1</v>
      </c>
      <c r="C157" s="82">
        <v>1</v>
      </c>
      <c r="D157" s="82">
        <f>Table13[[#This Row],[Women-led]]</f>
        <v>0</v>
      </c>
      <c r="E157" s="83">
        <f t="shared" si="5"/>
        <v>0</v>
      </c>
      <c r="F157" s="92">
        <f>Table13[[#This Row],[Staff Delta]]</f>
        <v>4</v>
      </c>
      <c r="G157" s="93" t="str">
        <f>Table13[[#This Row],[Economic Sector]]</f>
        <v>Agriculture, forestry and fishing</v>
      </c>
    </row>
    <row r="158" spans="1:7">
      <c r="A158" s="20" t="str">
        <f>Table13[[#This Row],[Governorate]]</f>
        <v>Aqaba</v>
      </c>
      <c r="B158" s="82">
        <f t="shared" si="4"/>
        <v>1</v>
      </c>
      <c r="C158" s="82">
        <v>0</v>
      </c>
      <c r="D158" s="82">
        <f>Table13[[#This Row],[Women-led]]</f>
        <v>1</v>
      </c>
      <c r="E158" s="83">
        <f t="shared" si="5"/>
        <v>1</v>
      </c>
      <c r="F158" s="92">
        <f>Table13[[#This Row],[Staff Delta]]</f>
        <v>0</v>
      </c>
      <c r="G158" s="93" t="str">
        <f>Table13[[#This Row],[Economic Sector]]</f>
        <v>Professional, scientific and technical activities</v>
      </c>
    </row>
    <row r="159" spans="1:7">
      <c r="A159" s="20" t="str">
        <f>Table13[[#This Row],[Governorate]]</f>
        <v>Aqaba</v>
      </c>
      <c r="B159" s="82">
        <f t="shared" si="4"/>
        <v>1</v>
      </c>
      <c r="C159" s="82">
        <v>0</v>
      </c>
      <c r="D159" s="82">
        <f>Table13[[#This Row],[Women-led]]</f>
        <v>1</v>
      </c>
      <c r="E159" s="83">
        <f t="shared" si="5"/>
        <v>1</v>
      </c>
      <c r="F159" s="92">
        <f>Table13[[#This Row],[Staff Delta]]</f>
        <v>0</v>
      </c>
      <c r="G159" s="93" t="str">
        <f>Table13[[#This Row],[Economic Sector]]</f>
        <v>Professional, scientific and technical activities</v>
      </c>
    </row>
    <row r="160" spans="1:7">
      <c r="A160" s="20" t="str">
        <f>Table13[[#This Row],[Governorate]]</f>
        <v>Aqaba</v>
      </c>
      <c r="B160" s="82">
        <f t="shared" si="4"/>
        <v>1</v>
      </c>
      <c r="C160" s="82">
        <v>0</v>
      </c>
      <c r="D160" s="82">
        <f>Table13[[#This Row],[Women-led]]</f>
        <v>1</v>
      </c>
      <c r="E160" s="83">
        <f t="shared" si="5"/>
        <v>1</v>
      </c>
      <c r="F160" s="92">
        <f>Table13[[#This Row],[Staff Delta]]</f>
        <v>0</v>
      </c>
      <c r="G160" s="93" t="str">
        <f>Table13[[#This Row],[Economic Sector]]</f>
        <v>Human health and social work activities</v>
      </c>
    </row>
    <row r="161" spans="1:7">
      <c r="A161" s="20" t="str">
        <f>Table13[[#This Row],[Governorate]]</f>
        <v>Aqaba</v>
      </c>
      <c r="B161" s="82">
        <f t="shared" si="4"/>
        <v>1</v>
      </c>
      <c r="C161" s="82">
        <v>1</v>
      </c>
      <c r="D161" s="82">
        <f>Table13[[#This Row],[Women-led]]</f>
        <v>0</v>
      </c>
      <c r="E161" s="83">
        <f t="shared" si="5"/>
        <v>0</v>
      </c>
      <c r="F161" s="92">
        <f>Table13[[#This Row],[Staff Delta]]</f>
        <v>0</v>
      </c>
      <c r="G161" s="93" t="str">
        <f>Table13[[#This Row],[Economic Sector]]</f>
        <v>Accommodation and food service activities</v>
      </c>
    </row>
    <row r="162" spans="1:7">
      <c r="A162" s="20" t="str">
        <f>Table13[[#This Row],[Governorate]]</f>
        <v>Aqaba</v>
      </c>
      <c r="B162" s="82">
        <f t="shared" si="4"/>
        <v>1</v>
      </c>
      <c r="C162" s="82">
        <v>0</v>
      </c>
      <c r="D162" s="82">
        <f>Table13[[#This Row],[Women-led]]</f>
        <v>1</v>
      </c>
      <c r="E162" s="83">
        <f t="shared" si="5"/>
        <v>1</v>
      </c>
      <c r="F162" s="92">
        <f>Table13[[#This Row],[Staff Delta]]</f>
        <v>1</v>
      </c>
      <c r="G162" s="93" t="str">
        <f>Table13[[#This Row],[Economic Sector]]</f>
        <v>Manufacturing</v>
      </c>
    </row>
    <row r="163" spans="1:7">
      <c r="A163" s="20" t="str">
        <f>Table13[[#This Row],[Governorate]]</f>
        <v>Aqaba</v>
      </c>
      <c r="B163" s="82">
        <f t="shared" si="4"/>
        <v>1</v>
      </c>
      <c r="C163" s="82">
        <v>0</v>
      </c>
      <c r="D163" s="82">
        <f>Table13[[#This Row],[Women-led]]</f>
        <v>1</v>
      </c>
      <c r="E163" s="83">
        <f t="shared" si="5"/>
        <v>1</v>
      </c>
      <c r="F163" s="92">
        <f>Table13[[#This Row],[Staff Delta]]</f>
        <v>0</v>
      </c>
      <c r="G163" s="93" t="str">
        <f>Table13[[#This Row],[Economic Sector]]</f>
        <v>Arts, entertainment and recreation</v>
      </c>
    </row>
    <row r="164" spans="1:7">
      <c r="A164" s="20" t="str">
        <f>Table13[[#This Row],[Governorate]]</f>
        <v>Aqaba</v>
      </c>
      <c r="B164" s="82">
        <f t="shared" si="4"/>
        <v>1</v>
      </c>
      <c r="C164" s="82">
        <v>0</v>
      </c>
      <c r="D164" s="82">
        <f>Table13[[#This Row],[Women-led]]</f>
        <v>1</v>
      </c>
      <c r="E164" s="83">
        <f t="shared" si="5"/>
        <v>1</v>
      </c>
      <c r="F164" s="92">
        <f>Table13[[#This Row],[Staff Delta]]</f>
        <v>0</v>
      </c>
      <c r="G164" s="93" t="str">
        <f>Table13[[#This Row],[Economic Sector]]</f>
        <v>Professional, scientific and technical activities</v>
      </c>
    </row>
    <row r="165" spans="1:7">
      <c r="A165" s="20" t="str">
        <f>Table13[[#This Row],[Governorate]]</f>
        <v>Aqaba</v>
      </c>
      <c r="B165" s="82">
        <f t="shared" si="4"/>
        <v>1</v>
      </c>
      <c r="C165" s="82">
        <v>0</v>
      </c>
      <c r="D165" s="82">
        <f>Table13[[#This Row],[Women-led]]</f>
        <v>1</v>
      </c>
      <c r="E165" s="83">
        <f t="shared" si="5"/>
        <v>1</v>
      </c>
      <c r="F165" s="92">
        <f>Table13[[#This Row],[Staff Delta]]</f>
        <v>0</v>
      </c>
      <c r="G165" s="93" t="str">
        <f>Table13[[#This Row],[Economic Sector]]</f>
        <v>Professional, scientific and technical activities</v>
      </c>
    </row>
    <row r="166" spans="1:7">
      <c r="A166" s="20" t="str">
        <f>Table13[[#This Row],[Governorate]]</f>
        <v>Aqaba</v>
      </c>
      <c r="B166" s="82">
        <f t="shared" si="4"/>
        <v>1</v>
      </c>
      <c r="C166" s="82">
        <v>0</v>
      </c>
      <c r="D166" s="82">
        <f>Table13[[#This Row],[Women-led]]</f>
        <v>1</v>
      </c>
      <c r="E166" s="83">
        <f t="shared" si="5"/>
        <v>1</v>
      </c>
      <c r="F166" s="92">
        <f>Table13[[#This Row],[Staff Delta]]</f>
        <v>0</v>
      </c>
      <c r="G166" s="93" t="str">
        <f>Table13[[#This Row],[Economic Sector]]</f>
        <v>Professional, scientific and technical activities</v>
      </c>
    </row>
    <row r="167" spans="1:7">
      <c r="A167" s="20" t="str">
        <f>Table13[[#This Row],[Governorate]]</f>
        <v>Aqaba</v>
      </c>
      <c r="B167" s="82">
        <f t="shared" si="4"/>
        <v>1</v>
      </c>
      <c r="C167" s="82">
        <v>0</v>
      </c>
      <c r="D167" s="82">
        <f>Table13[[#This Row],[Women-led]]</f>
        <v>1</v>
      </c>
      <c r="E167" s="83">
        <f t="shared" si="5"/>
        <v>1</v>
      </c>
      <c r="F167" s="92">
        <f>Table13[[#This Row],[Staff Delta]]</f>
        <v>0</v>
      </c>
      <c r="G167" s="93" t="str">
        <f>Table13[[#This Row],[Economic Sector]]</f>
        <v>Professional, scientific and technical activities</v>
      </c>
    </row>
    <row r="168" spans="1:7">
      <c r="A168" s="20" t="str">
        <f>Table13[[#This Row],[Governorate]]</f>
        <v>Aqaba</v>
      </c>
      <c r="B168" s="82">
        <f t="shared" si="4"/>
        <v>1</v>
      </c>
      <c r="C168" s="82">
        <v>0</v>
      </c>
      <c r="D168" s="82">
        <f>Table13[[#This Row],[Women-led]]</f>
        <v>1</v>
      </c>
      <c r="E168" s="83">
        <f t="shared" si="5"/>
        <v>1</v>
      </c>
      <c r="F168" s="92">
        <f>Table13[[#This Row],[Staff Delta]]</f>
        <v>0</v>
      </c>
      <c r="G168" s="93" t="str">
        <f>Table13[[#This Row],[Economic Sector]]</f>
        <v>Human health and social work activities</v>
      </c>
    </row>
    <row r="169" spans="1:7">
      <c r="A169" s="20" t="str">
        <f>Table13[[#This Row],[Governorate]]</f>
        <v>Aqaba</v>
      </c>
      <c r="B169" s="82">
        <f t="shared" si="4"/>
        <v>1</v>
      </c>
      <c r="C169" s="82">
        <v>1</v>
      </c>
      <c r="D169" s="82">
        <f>Table13[[#This Row],[Women-led]]</f>
        <v>0</v>
      </c>
      <c r="E169" s="83">
        <f t="shared" si="5"/>
        <v>0</v>
      </c>
      <c r="F169" s="92">
        <f>Table13[[#This Row],[Staff Delta]]</f>
        <v>0</v>
      </c>
      <c r="G169" s="93" t="str">
        <f>Table13[[#This Row],[Economic Sector]]</f>
        <v>Professional, scientific and technical activities</v>
      </c>
    </row>
    <row r="170" spans="1:7">
      <c r="A170" s="20" t="str">
        <f>Table13[[#This Row],[Governorate]]</f>
        <v>Aqaba</v>
      </c>
      <c r="B170" s="82">
        <f t="shared" si="4"/>
        <v>1</v>
      </c>
      <c r="C170" s="82">
        <v>1</v>
      </c>
      <c r="D170" s="82">
        <f>Table13[[#This Row],[Women-led]]</f>
        <v>0</v>
      </c>
      <c r="E170" s="83">
        <f t="shared" si="5"/>
        <v>0</v>
      </c>
      <c r="F170" s="92">
        <f>Table13[[#This Row],[Staff Delta]]</f>
        <v>0</v>
      </c>
      <c r="G170" s="93" t="str">
        <f>Table13[[#This Row],[Economic Sector]]</f>
        <v>Manufacturing</v>
      </c>
    </row>
    <row r="171" spans="1:7">
      <c r="A171" s="20" t="str">
        <f>Table13[[#This Row],[Governorate]]</f>
        <v>Aqaba</v>
      </c>
      <c r="B171" s="82">
        <f t="shared" si="4"/>
        <v>1</v>
      </c>
      <c r="C171" s="82">
        <v>1</v>
      </c>
      <c r="D171" s="82">
        <f>Table13[[#This Row],[Women-led]]</f>
        <v>0</v>
      </c>
      <c r="E171" s="83">
        <f t="shared" si="5"/>
        <v>0</v>
      </c>
      <c r="F171" s="92">
        <f>Table13[[#This Row],[Staff Delta]]</f>
        <v>1</v>
      </c>
      <c r="G171" s="93" t="str">
        <f>Table13[[#This Row],[Economic Sector]]</f>
        <v>Financial and insurance activities</v>
      </c>
    </row>
    <row r="172" spans="1:7">
      <c r="A172" s="20" t="str">
        <f>Table13[[#This Row],[Governorate]]</f>
        <v>Aqaba</v>
      </c>
      <c r="B172" s="82">
        <f t="shared" si="4"/>
        <v>1</v>
      </c>
      <c r="C172" s="82">
        <v>0</v>
      </c>
      <c r="D172" s="82">
        <f>Table13[[#This Row],[Women-led]]</f>
        <v>1</v>
      </c>
      <c r="E172" s="83">
        <f t="shared" si="5"/>
        <v>1</v>
      </c>
      <c r="F172" s="92">
        <f>Table13[[#This Row],[Staff Delta]]</f>
        <v>1</v>
      </c>
      <c r="G172" s="93" t="str">
        <f>Table13[[#This Row],[Economic Sector]]</f>
        <v>Administrative and support service activities</v>
      </c>
    </row>
    <row r="173" spans="1:7">
      <c r="A173" s="20" t="str">
        <f>Table13[[#This Row],[Governorate]]</f>
        <v>Aqaba</v>
      </c>
      <c r="B173" s="82">
        <f t="shared" si="4"/>
        <v>1</v>
      </c>
      <c r="C173" s="82">
        <v>1</v>
      </c>
      <c r="D173" s="82">
        <f>Table13[[#This Row],[Women-led]]</f>
        <v>0</v>
      </c>
      <c r="E173" s="83">
        <f t="shared" si="5"/>
        <v>0</v>
      </c>
      <c r="F173" s="92">
        <f>Table13[[#This Row],[Staff Delta]]</f>
        <v>0</v>
      </c>
      <c r="G173" s="93" t="str">
        <f>Table13[[#This Row],[Economic Sector]]</f>
        <v>Administrative and support service activities</v>
      </c>
    </row>
    <row r="174" spans="1:7">
      <c r="A174" s="20" t="str">
        <f>Table13[[#This Row],[Governorate]]</f>
        <v>Aqaba</v>
      </c>
      <c r="B174" s="82">
        <f t="shared" si="4"/>
        <v>1</v>
      </c>
      <c r="C174" s="82">
        <v>0</v>
      </c>
      <c r="D174" s="82">
        <f>Table13[[#This Row],[Women-led]]</f>
        <v>1</v>
      </c>
      <c r="E174" s="83">
        <f t="shared" si="5"/>
        <v>1</v>
      </c>
      <c r="F174" s="92">
        <f>Table13[[#This Row],[Staff Delta]]</f>
        <v>0</v>
      </c>
      <c r="G174" s="93" t="str">
        <f>Table13[[#This Row],[Economic Sector]]</f>
        <v>Arts, entertainment and recreation</v>
      </c>
    </row>
    <row r="175" spans="1:7">
      <c r="A175" s="20" t="str">
        <f>Table13[[#This Row],[Governorate]]</f>
        <v>Aqaba</v>
      </c>
      <c r="B175" s="82">
        <f t="shared" si="4"/>
        <v>1</v>
      </c>
      <c r="C175" s="82">
        <v>0</v>
      </c>
      <c r="D175" s="82">
        <f>Table13[[#This Row],[Women-led]]</f>
        <v>1</v>
      </c>
      <c r="E175" s="83">
        <f t="shared" si="5"/>
        <v>1</v>
      </c>
      <c r="F175" s="92">
        <f>Table13[[#This Row],[Staff Delta]]</f>
        <v>0</v>
      </c>
      <c r="G175" s="93" t="str">
        <f>Table13[[#This Row],[Economic Sector]]</f>
        <v>Water supply; sewerage, waste management and remediation activities</v>
      </c>
    </row>
    <row r="176" spans="1:7">
      <c r="A176" s="20" t="str">
        <f>Table13[[#This Row],[Governorate]]</f>
        <v>Aqaba</v>
      </c>
      <c r="B176" s="82">
        <f t="shared" si="4"/>
        <v>1</v>
      </c>
      <c r="C176" s="82">
        <v>1</v>
      </c>
      <c r="D176" s="82">
        <f>Table13[[#This Row],[Women-led]]</f>
        <v>0</v>
      </c>
      <c r="E176" s="83">
        <f t="shared" si="5"/>
        <v>0</v>
      </c>
      <c r="F176" s="92">
        <f>Table13[[#This Row],[Staff Delta]]</f>
        <v>0</v>
      </c>
      <c r="G176" s="93" t="str">
        <f>Table13[[#This Row],[Economic Sector]]</f>
        <v>Arts, entertainment and recreation</v>
      </c>
    </row>
    <row r="177" spans="1:7">
      <c r="A177" s="20" t="str">
        <f>Table13[[#This Row],[Governorate]]</f>
        <v>Aqaba</v>
      </c>
      <c r="B177" s="82">
        <f t="shared" si="4"/>
        <v>1</v>
      </c>
      <c r="C177" s="82">
        <v>1</v>
      </c>
      <c r="D177" s="82">
        <f>Table13[[#This Row],[Women-led]]</f>
        <v>0</v>
      </c>
      <c r="E177" s="83">
        <f t="shared" si="5"/>
        <v>0</v>
      </c>
      <c r="F177" s="92">
        <f>Table13[[#This Row],[Staff Delta]]</f>
        <v>0</v>
      </c>
      <c r="G177" s="93" t="str">
        <f>Table13[[#This Row],[Economic Sector]]</f>
        <v>Arts, entertainment and recreation</v>
      </c>
    </row>
    <row r="178" spans="1:7">
      <c r="A178" s="20" t="str">
        <f>Table13[[#This Row],[Governorate]]</f>
        <v>Aqaba</v>
      </c>
      <c r="B178" s="82">
        <f t="shared" si="4"/>
        <v>1</v>
      </c>
      <c r="C178" s="82">
        <v>0</v>
      </c>
      <c r="D178" s="82">
        <f>Table13[[#This Row],[Women-led]]</f>
        <v>1</v>
      </c>
      <c r="E178" s="83">
        <f t="shared" si="5"/>
        <v>1</v>
      </c>
      <c r="F178" s="92">
        <f>Table13[[#This Row],[Staff Delta]]</f>
        <v>0</v>
      </c>
      <c r="G178" s="93" t="str">
        <f>Table13[[#This Row],[Economic Sector]]</f>
        <v>Arts, entertainment and recreation</v>
      </c>
    </row>
    <row r="179" spans="1:7">
      <c r="A179" s="20" t="str">
        <f>Table13[[#This Row],[Governorate]]</f>
        <v>Aqaba</v>
      </c>
      <c r="B179" s="82">
        <f t="shared" si="4"/>
        <v>1</v>
      </c>
      <c r="C179" s="82">
        <v>1</v>
      </c>
      <c r="D179" s="82">
        <f>Table13[[#This Row],[Women-led]]</f>
        <v>0</v>
      </c>
      <c r="E179" s="83">
        <f t="shared" si="5"/>
        <v>0</v>
      </c>
      <c r="F179" s="92">
        <f>Table13[[#This Row],[Staff Delta]]</f>
        <v>1</v>
      </c>
      <c r="G179" s="93" t="str">
        <f>Table13[[#This Row],[Economic Sector]]</f>
        <v>Manufacturing</v>
      </c>
    </row>
    <row r="180" spans="1:7">
      <c r="A180" s="20" t="str">
        <f>Table13[[#This Row],[Governorate]]</f>
        <v>Aqaba</v>
      </c>
      <c r="B180" s="82">
        <f t="shared" si="4"/>
        <v>1</v>
      </c>
      <c r="C180" s="82">
        <v>0</v>
      </c>
      <c r="D180" s="82">
        <f>Table13[[#This Row],[Women-led]]</f>
        <v>1</v>
      </c>
      <c r="E180" s="83">
        <f t="shared" si="5"/>
        <v>1</v>
      </c>
      <c r="F180" s="92">
        <f>Table13[[#This Row],[Staff Delta]]</f>
        <v>0</v>
      </c>
      <c r="G180" s="93" t="str">
        <f>Table13[[#This Row],[Economic Sector]]</f>
        <v>Manufacturing</v>
      </c>
    </row>
    <row r="181" spans="1:7">
      <c r="A181" s="20" t="str">
        <f>Table13[[#This Row],[Governorate]]</f>
        <v>Aqaba</v>
      </c>
      <c r="B181" s="82">
        <f t="shared" si="4"/>
        <v>1</v>
      </c>
      <c r="C181" s="82">
        <v>0</v>
      </c>
      <c r="D181" s="82">
        <f>Table13[[#This Row],[Women-led]]</f>
        <v>1</v>
      </c>
      <c r="E181" s="83">
        <f t="shared" si="5"/>
        <v>1</v>
      </c>
      <c r="F181" s="92">
        <f>Table13[[#This Row],[Staff Delta]]</f>
        <v>0</v>
      </c>
      <c r="G181" s="93" t="str">
        <f>Table13[[#This Row],[Economic Sector]]</f>
        <v>Manufacturing</v>
      </c>
    </row>
    <row r="182" spans="1:7">
      <c r="A182" s="20" t="str">
        <f>Table13[[#This Row],[Governorate]]</f>
        <v>Aqaba</v>
      </c>
      <c r="B182" s="82">
        <f t="shared" si="4"/>
        <v>1</v>
      </c>
      <c r="C182" s="82">
        <v>0</v>
      </c>
      <c r="D182" s="82">
        <f>Table13[[#This Row],[Women-led]]</f>
        <v>1</v>
      </c>
      <c r="E182" s="83">
        <f t="shared" si="5"/>
        <v>1</v>
      </c>
      <c r="F182" s="92">
        <f>Table13[[#This Row],[Staff Delta]]</f>
        <v>0</v>
      </c>
      <c r="G182" s="93" t="str">
        <f>Table13[[#This Row],[Economic Sector]]</f>
        <v>Manufacturing</v>
      </c>
    </row>
    <row r="183" spans="1:7">
      <c r="A183" s="20" t="str">
        <f>Table13[[#This Row],[Governorate]]</f>
        <v>Aqaba</v>
      </c>
      <c r="B183" s="82">
        <f t="shared" si="4"/>
        <v>1</v>
      </c>
      <c r="C183" s="82">
        <v>1</v>
      </c>
      <c r="D183" s="82">
        <f>Table13[[#This Row],[Women-led]]</f>
        <v>0</v>
      </c>
      <c r="E183" s="83">
        <f t="shared" si="5"/>
        <v>0</v>
      </c>
      <c r="F183" s="92">
        <f>Table13[[#This Row],[Staff Delta]]</f>
        <v>2</v>
      </c>
      <c r="G183" s="93" t="str">
        <f>Table13[[#This Row],[Economic Sector]]</f>
        <v>Real estate activities</v>
      </c>
    </row>
    <row r="184" spans="1:7">
      <c r="A184" s="20" t="str">
        <f>Table13[[#This Row],[Governorate]]</f>
        <v>Aqaba</v>
      </c>
      <c r="B184" s="82">
        <f t="shared" si="4"/>
        <v>1</v>
      </c>
      <c r="C184" s="82">
        <v>1</v>
      </c>
      <c r="D184" s="82">
        <f>Table13[[#This Row],[Women-led]]</f>
        <v>0</v>
      </c>
      <c r="E184" s="83">
        <f t="shared" si="5"/>
        <v>0</v>
      </c>
      <c r="F184" s="92">
        <f>Table13[[#This Row],[Staff Delta]]</f>
        <v>0</v>
      </c>
      <c r="G184" s="93" t="str">
        <f>Table13[[#This Row],[Economic Sector]]</f>
        <v>Professional, scientific and technical activities</v>
      </c>
    </row>
    <row r="185" spans="1:7">
      <c r="A185" s="20" t="str">
        <f>Table13[[#This Row],[Governorate]]</f>
        <v>Aqaba</v>
      </c>
      <c r="B185" s="82">
        <f t="shared" si="4"/>
        <v>1</v>
      </c>
      <c r="C185" s="82">
        <v>0</v>
      </c>
      <c r="D185" s="82">
        <f>Table13[[#This Row],[Women-led]]</f>
        <v>1</v>
      </c>
      <c r="E185" s="83">
        <f t="shared" si="5"/>
        <v>1</v>
      </c>
      <c r="F185" s="92">
        <f>Table13[[#This Row],[Staff Delta]]</f>
        <v>0</v>
      </c>
      <c r="G185" s="93" t="str">
        <f>Table13[[#This Row],[Economic Sector]]</f>
        <v>Arts, entertainment and recreation</v>
      </c>
    </row>
    <row r="186" spans="1:7">
      <c r="A186" s="20" t="str">
        <f>Table13[[#This Row],[Governorate]]</f>
        <v>Aqaba</v>
      </c>
      <c r="B186" s="82">
        <f t="shared" si="4"/>
        <v>1</v>
      </c>
      <c r="C186" s="82">
        <v>1</v>
      </c>
      <c r="D186" s="82">
        <f>Table13[[#This Row],[Women-led]]</f>
        <v>0</v>
      </c>
      <c r="E186" s="83">
        <f t="shared" si="5"/>
        <v>0</v>
      </c>
      <c r="F186" s="92">
        <f>Table13[[#This Row],[Staff Delta]]</f>
        <v>1</v>
      </c>
      <c r="G186" s="93" t="str">
        <f>Table13[[#This Row],[Economic Sector]]</f>
        <v>Wholesale and retail trade; repair of motor vehicles and motorcycles</v>
      </c>
    </row>
    <row r="187" spans="1:7">
      <c r="A187" s="20" t="str">
        <f>Table13[[#This Row],[Governorate]]</f>
        <v>Aqaba</v>
      </c>
      <c r="B187" s="82">
        <f t="shared" si="4"/>
        <v>1</v>
      </c>
      <c r="C187" s="82">
        <v>0</v>
      </c>
      <c r="D187" s="82">
        <f>Table13[[#This Row],[Women-led]]</f>
        <v>1</v>
      </c>
      <c r="E187" s="83">
        <f t="shared" si="5"/>
        <v>1</v>
      </c>
      <c r="F187" s="92">
        <f>Table13[[#This Row],[Staff Delta]]</f>
        <v>0</v>
      </c>
      <c r="G187" s="93" t="str">
        <f>Table13[[#This Row],[Economic Sector]]</f>
        <v>Manufacturing</v>
      </c>
    </row>
    <row r="188" spans="1:7">
      <c r="A188" s="20" t="str">
        <f>Table13[[#This Row],[Governorate]]</f>
        <v>Aqaba</v>
      </c>
      <c r="B188" s="82">
        <f t="shared" si="4"/>
        <v>1</v>
      </c>
      <c r="C188" s="82">
        <v>0</v>
      </c>
      <c r="D188" s="82">
        <f>Table13[[#This Row],[Women-led]]</f>
        <v>1</v>
      </c>
      <c r="E188" s="83">
        <f t="shared" si="5"/>
        <v>1</v>
      </c>
      <c r="F188" s="92">
        <f>Table13[[#This Row],[Staff Delta]]</f>
        <v>0</v>
      </c>
      <c r="G188" s="93" t="str">
        <f>Table13[[#This Row],[Economic Sector]]</f>
        <v>Information and communication</v>
      </c>
    </row>
    <row r="189" spans="1:7">
      <c r="A189" s="20" t="str">
        <f>Table13[[#This Row],[Governorate]]</f>
        <v>Aqaba</v>
      </c>
      <c r="B189" s="82">
        <f t="shared" si="4"/>
        <v>1</v>
      </c>
      <c r="C189" s="82">
        <v>1</v>
      </c>
      <c r="D189" s="82">
        <f>Table13[[#This Row],[Women-led]]</f>
        <v>0</v>
      </c>
      <c r="E189" s="83">
        <f t="shared" si="5"/>
        <v>0</v>
      </c>
      <c r="F189" s="92">
        <f>Table13[[#This Row],[Staff Delta]]</f>
        <v>0</v>
      </c>
      <c r="G189" s="93" t="str">
        <f>Table13[[#This Row],[Economic Sector]]</f>
        <v>Administrative and support service activities</v>
      </c>
    </row>
    <row r="190" spans="1:7">
      <c r="A190" s="20" t="str">
        <f>Table13[[#This Row],[Governorate]]</f>
        <v>Aqaba</v>
      </c>
      <c r="B190" s="82">
        <f t="shared" si="4"/>
        <v>1</v>
      </c>
      <c r="C190" s="82">
        <v>1</v>
      </c>
      <c r="D190" s="82">
        <f>Table13[[#This Row],[Women-led]]</f>
        <v>0</v>
      </c>
      <c r="E190" s="83">
        <f t="shared" si="5"/>
        <v>0</v>
      </c>
      <c r="F190" s="92">
        <f>Table13[[#This Row],[Staff Delta]]</f>
        <v>3</v>
      </c>
      <c r="G190" s="93" t="str">
        <f>Table13[[#This Row],[Economic Sector]]</f>
        <v>Accommodation and food service activities</v>
      </c>
    </row>
    <row r="191" spans="1:7">
      <c r="A191" s="20" t="str">
        <f>Table13[[#This Row],[Governorate]]</f>
        <v>Aqaba</v>
      </c>
      <c r="B191" s="82">
        <f t="shared" si="4"/>
        <v>1</v>
      </c>
      <c r="C191" s="82">
        <v>1</v>
      </c>
      <c r="D191" s="82">
        <f>Table13[[#This Row],[Women-led]]</f>
        <v>0</v>
      </c>
      <c r="E191" s="83">
        <f t="shared" si="5"/>
        <v>0</v>
      </c>
      <c r="F191" s="92">
        <f>Table13[[#This Row],[Staff Delta]]</f>
        <v>5</v>
      </c>
      <c r="G191" s="93" t="str">
        <f>Table13[[#This Row],[Economic Sector]]</f>
        <v>Arts, entertainment and recreation</v>
      </c>
    </row>
    <row r="192" spans="1:7">
      <c r="A192" s="20" t="str">
        <f>Table13[[#This Row],[Governorate]]</f>
        <v>Aqaba</v>
      </c>
      <c r="B192" s="82">
        <f t="shared" si="4"/>
        <v>1</v>
      </c>
      <c r="C192" s="82">
        <v>0</v>
      </c>
      <c r="D192" s="82">
        <f>Table13[[#This Row],[Women-led]]</f>
        <v>1</v>
      </c>
      <c r="E192" s="83">
        <f t="shared" si="5"/>
        <v>1</v>
      </c>
      <c r="F192" s="92">
        <f>Table13[[#This Row],[Staff Delta]]</f>
        <v>0</v>
      </c>
      <c r="G192" s="93" t="str">
        <f>Table13[[#This Row],[Economic Sector]]</f>
        <v>Arts, entertainment and recreation</v>
      </c>
    </row>
    <row r="193" spans="1:7">
      <c r="A193" s="20" t="str">
        <f>Table13[[#This Row],[Governorate]]</f>
        <v>Aqaba</v>
      </c>
      <c r="B193" s="82">
        <f t="shared" si="4"/>
        <v>1</v>
      </c>
      <c r="C193" s="82">
        <v>1</v>
      </c>
      <c r="D193" s="82">
        <f>Table13[[#This Row],[Women-led]]</f>
        <v>0</v>
      </c>
      <c r="E193" s="83">
        <f t="shared" si="5"/>
        <v>0</v>
      </c>
      <c r="F193" s="92">
        <f>Table13[[#This Row],[Staff Delta]]</f>
        <v>12</v>
      </c>
      <c r="G193" s="93" t="str">
        <f>Table13[[#This Row],[Economic Sector]]</f>
        <v>Accommodation and food service activities</v>
      </c>
    </row>
    <row r="194" spans="1:7">
      <c r="A194" s="20" t="str">
        <f>Table13[[#This Row],[Governorate]]</f>
        <v>Aqaba</v>
      </c>
      <c r="B194" s="82">
        <f t="shared" si="4"/>
        <v>1</v>
      </c>
      <c r="C194" s="82">
        <v>0</v>
      </c>
      <c r="D194" s="82">
        <f>Table13[[#This Row],[Women-led]]</f>
        <v>1</v>
      </c>
      <c r="E194" s="83">
        <f t="shared" si="5"/>
        <v>1</v>
      </c>
      <c r="F194" s="92">
        <f>Table13[[#This Row],[Staff Delta]]</f>
        <v>0</v>
      </c>
      <c r="G194" s="93" t="str">
        <f>Table13[[#This Row],[Economic Sector]]</f>
        <v>Education</v>
      </c>
    </row>
    <row r="195" spans="1:7">
      <c r="A195" s="20" t="str">
        <f>Table13[[#This Row],[Governorate]]</f>
        <v>Aqaba</v>
      </c>
      <c r="B195" s="82">
        <f t="shared" si="4"/>
        <v>1</v>
      </c>
      <c r="C195" s="82">
        <v>0</v>
      </c>
      <c r="D195" s="82">
        <f>Table13[[#This Row],[Women-led]]</f>
        <v>1</v>
      </c>
      <c r="E195" s="83">
        <f t="shared" si="5"/>
        <v>1</v>
      </c>
      <c r="F195" s="92">
        <f>Table13[[#This Row],[Staff Delta]]</f>
        <v>0</v>
      </c>
      <c r="G195" s="93" t="str">
        <f>Table13[[#This Row],[Economic Sector]]</f>
        <v>Manufacturing</v>
      </c>
    </row>
    <row r="196" spans="1:7">
      <c r="A196" s="20" t="str">
        <f>Table13[[#This Row],[Governorate]]</f>
        <v>Aqaba</v>
      </c>
      <c r="B196" s="82">
        <f t="shared" si="4"/>
        <v>1</v>
      </c>
      <c r="C196" s="82">
        <v>1</v>
      </c>
      <c r="D196" s="82">
        <f>Table13[[#This Row],[Women-led]]</f>
        <v>0</v>
      </c>
      <c r="E196" s="83">
        <f t="shared" si="5"/>
        <v>0</v>
      </c>
      <c r="F196" s="92">
        <f>Table13[[#This Row],[Staff Delta]]</f>
        <v>3</v>
      </c>
      <c r="G196" s="93" t="str">
        <f>Table13[[#This Row],[Economic Sector]]</f>
        <v>Manufacturing</v>
      </c>
    </row>
    <row r="197" spans="1:7">
      <c r="A197" s="20" t="str">
        <f>Table13[[#This Row],[Governorate]]</f>
        <v>Aqaba</v>
      </c>
      <c r="B197" s="82">
        <f t="shared" si="4"/>
        <v>1</v>
      </c>
      <c r="C197" s="82">
        <v>1</v>
      </c>
      <c r="D197" s="82">
        <f>Table13[[#This Row],[Women-led]]</f>
        <v>0</v>
      </c>
      <c r="E197" s="83">
        <f t="shared" si="5"/>
        <v>0</v>
      </c>
      <c r="F197" s="92">
        <f>Table13[[#This Row],[Staff Delta]]</f>
        <v>0</v>
      </c>
      <c r="G197" s="93" t="str">
        <f>Table13[[#This Row],[Economic Sector]]</f>
        <v>Transportation and storage</v>
      </c>
    </row>
    <row r="198" spans="1:7">
      <c r="A198" s="20" t="str">
        <f>Table13[[#This Row],[Governorate]]</f>
        <v>Aqaba</v>
      </c>
      <c r="B198" s="82">
        <f t="shared" ref="B198:B261" si="6">C198+D198</f>
        <v>1</v>
      </c>
      <c r="C198" s="82">
        <v>0</v>
      </c>
      <c r="D198" s="82">
        <f>Table13[[#This Row],[Women-led]]</f>
        <v>1</v>
      </c>
      <c r="E198" s="83">
        <f t="shared" ref="E198:E261" si="7">IF(OR(B198="",D198=""),"",IFERROR(D198/B198,""))</f>
        <v>1</v>
      </c>
      <c r="F198" s="92">
        <f>Table13[[#This Row],[Staff Delta]]</f>
        <v>0</v>
      </c>
      <c r="G198" s="93" t="str">
        <f>Table13[[#This Row],[Economic Sector]]</f>
        <v>Manufacturing</v>
      </c>
    </row>
    <row r="199" spans="1:7">
      <c r="A199" s="20" t="str">
        <f>Table13[[#This Row],[Governorate]]</f>
        <v>Aqaba</v>
      </c>
      <c r="B199" s="82">
        <f t="shared" si="6"/>
        <v>1</v>
      </c>
      <c r="C199" s="82">
        <v>1</v>
      </c>
      <c r="D199" s="82">
        <f>Table13[[#This Row],[Women-led]]</f>
        <v>0</v>
      </c>
      <c r="E199" s="83">
        <f t="shared" si="7"/>
        <v>0</v>
      </c>
      <c r="F199" s="92">
        <f>Table13[[#This Row],[Staff Delta]]</f>
        <v>1</v>
      </c>
      <c r="G199" s="93" t="str">
        <f>Table13[[#This Row],[Economic Sector]]</f>
        <v>Arts, entertainment and recreation</v>
      </c>
    </row>
    <row r="200" spans="1:7">
      <c r="A200" s="20" t="str">
        <f>Table13[[#This Row],[Governorate]]</f>
        <v>Aqaba</v>
      </c>
      <c r="B200" s="82">
        <f t="shared" si="6"/>
        <v>1</v>
      </c>
      <c r="C200" s="82">
        <v>1</v>
      </c>
      <c r="D200" s="82">
        <f>Table13[[#This Row],[Women-led]]</f>
        <v>0</v>
      </c>
      <c r="E200" s="83">
        <f t="shared" si="7"/>
        <v>0</v>
      </c>
      <c r="F200" s="92">
        <f>Table13[[#This Row],[Staff Delta]]</f>
        <v>5</v>
      </c>
      <c r="G200" s="93" t="str">
        <f>Table13[[#This Row],[Economic Sector]]</f>
        <v>Manufacturing</v>
      </c>
    </row>
    <row r="201" spans="1:7">
      <c r="A201" s="20" t="str">
        <f>Table13[[#This Row],[Governorate]]</f>
        <v>Aqaba</v>
      </c>
      <c r="B201" s="82">
        <f t="shared" si="6"/>
        <v>1</v>
      </c>
      <c r="C201" s="82">
        <v>0</v>
      </c>
      <c r="D201" s="82">
        <f>Table13[[#This Row],[Women-led]]</f>
        <v>1</v>
      </c>
      <c r="E201" s="83">
        <f t="shared" si="7"/>
        <v>1</v>
      </c>
      <c r="F201" s="92">
        <f>Table13[[#This Row],[Staff Delta]]</f>
        <v>0</v>
      </c>
      <c r="G201" s="93" t="str">
        <f>Table13[[#This Row],[Economic Sector]]</f>
        <v>Arts, entertainment and recreation</v>
      </c>
    </row>
    <row r="202" spans="1:7">
      <c r="A202" s="20" t="str">
        <f>Table13[[#This Row],[Governorate]]</f>
        <v>Aqaba</v>
      </c>
      <c r="B202" s="82">
        <f t="shared" si="6"/>
        <v>1</v>
      </c>
      <c r="C202" s="82">
        <v>0</v>
      </c>
      <c r="D202" s="82">
        <f>Table13[[#This Row],[Women-led]]</f>
        <v>1</v>
      </c>
      <c r="E202" s="83">
        <f t="shared" si="7"/>
        <v>1</v>
      </c>
      <c r="F202" s="92">
        <f>Table13[[#This Row],[Staff Delta]]</f>
        <v>0</v>
      </c>
      <c r="G202" s="93" t="str">
        <f>Table13[[#This Row],[Economic Sector]]</f>
        <v>Manufacturing</v>
      </c>
    </row>
    <row r="203" spans="1:7">
      <c r="A203" s="20" t="str">
        <f>Table13[[#This Row],[Governorate]]</f>
        <v>Aqaba</v>
      </c>
      <c r="B203" s="82">
        <f t="shared" si="6"/>
        <v>1</v>
      </c>
      <c r="C203" s="82">
        <v>0</v>
      </c>
      <c r="D203" s="82">
        <f>Table13[[#This Row],[Women-led]]</f>
        <v>1</v>
      </c>
      <c r="E203" s="83">
        <f t="shared" si="7"/>
        <v>1</v>
      </c>
      <c r="F203" s="92">
        <f>Table13[[#This Row],[Staff Delta]]</f>
        <v>1</v>
      </c>
      <c r="G203" s="93" t="str">
        <f>Table13[[#This Row],[Economic Sector]]</f>
        <v>Education</v>
      </c>
    </row>
    <row r="204" spans="1:7">
      <c r="A204" s="20" t="str">
        <f>Table13[[#This Row],[Governorate]]</f>
        <v>Aqaba</v>
      </c>
      <c r="B204" s="82">
        <f t="shared" si="6"/>
        <v>1</v>
      </c>
      <c r="C204" s="82">
        <v>0</v>
      </c>
      <c r="D204" s="82">
        <f>Table13[[#This Row],[Women-led]]</f>
        <v>1</v>
      </c>
      <c r="E204" s="83">
        <f t="shared" si="7"/>
        <v>1</v>
      </c>
      <c r="F204" s="92">
        <f>Table13[[#This Row],[Staff Delta]]</f>
        <v>0</v>
      </c>
      <c r="G204" s="93" t="str">
        <f>Table13[[#This Row],[Economic Sector]]</f>
        <v>Manufacturing</v>
      </c>
    </row>
    <row r="205" spans="1:7">
      <c r="A205" s="20" t="str">
        <f>Table13[[#This Row],[Governorate]]</f>
        <v>Aqaba</v>
      </c>
      <c r="B205" s="82">
        <f t="shared" si="6"/>
        <v>1</v>
      </c>
      <c r="C205" s="82">
        <v>0</v>
      </c>
      <c r="D205" s="82">
        <f>Table13[[#This Row],[Women-led]]</f>
        <v>1</v>
      </c>
      <c r="E205" s="83">
        <f t="shared" si="7"/>
        <v>1</v>
      </c>
      <c r="F205" s="92">
        <f>Table13[[#This Row],[Staff Delta]]</f>
        <v>0</v>
      </c>
      <c r="G205" s="93" t="str">
        <f>Table13[[#This Row],[Economic Sector]]</f>
        <v>Education</v>
      </c>
    </row>
    <row r="206" spans="1:7">
      <c r="A206" s="20" t="str">
        <f>Table13[[#This Row],[Governorate]]</f>
        <v>Aqaba</v>
      </c>
      <c r="B206" s="82">
        <f t="shared" si="6"/>
        <v>1</v>
      </c>
      <c r="C206" s="82">
        <v>0</v>
      </c>
      <c r="D206" s="82">
        <f>Table13[[#This Row],[Women-led]]</f>
        <v>1</v>
      </c>
      <c r="E206" s="83">
        <f t="shared" si="7"/>
        <v>1</v>
      </c>
      <c r="F206" s="92">
        <f>Table13[[#This Row],[Staff Delta]]</f>
        <v>0</v>
      </c>
      <c r="G206" s="93" t="str">
        <f>Table13[[#This Row],[Economic Sector]]</f>
        <v>Information and communication</v>
      </c>
    </row>
    <row r="207" spans="1:7">
      <c r="A207" s="20" t="str">
        <f>Table13[[#This Row],[Governorate]]</f>
        <v>Aqaba</v>
      </c>
      <c r="B207" s="82">
        <f t="shared" si="6"/>
        <v>1</v>
      </c>
      <c r="C207" s="82">
        <v>1</v>
      </c>
      <c r="D207" s="82">
        <f>Table13[[#This Row],[Women-led]]</f>
        <v>0</v>
      </c>
      <c r="E207" s="83">
        <f t="shared" si="7"/>
        <v>0</v>
      </c>
      <c r="F207" s="92">
        <f>Table13[[#This Row],[Staff Delta]]</f>
        <v>0</v>
      </c>
      <c r="G207" s="93" t="str">
        <f>Table13[[#This Row],[Economic Sector]]</f>
        <v>Arts, entertainment and recreation</v>
      </c>
    </row>
    <row r="208" spans="1:7">
      <c r="A208" s="20" t="str">
        <f>Table13[[#This Row],[Governorate]]</f>
        <v>Aqaba</v>
      </c>
      <c r="B208" s="82">
        <f t="shared" si="6"/>
        <v>1</v>
      </c>
      <c r="C208" s="82">
        <v>1</v>
      </c>
      <c r="D208" s="82">
        <f>Table13[[#This Row],[Women-led]]</f>
        <v>0</v>
      </c>
      <c r="E208" s="83">
        <f t="shared" si="7"/>
        <v>0</v>
      </c>
      <c r="F208" s="92">
        <f>Table13[[#This Row],[Staff Delta]]</f>
        <v>0</v>
      </c>
      <c r="G208" s="93" t="str">
        <f>Table13[[#This Row],[Economic Sector]]</f>
        <v>Education</v>
      </c>
    </row>
    <row r="209" spans="1:7">
      <c r="A209" s="20" t="str">
        <f>Table13[[#This Row],[Governorate]]</f>
        <v>Aqaba</v>
      </c>
      <c r="B209" s="82">
        <f t="shared" si="6"/>
        <v>1</v>
      </c>
      <c r="C209" s="82">
        <v>1</v>
      </c>
      <c r="D209" s="82">
        <f>Table13[[#This Row],[Women-led]]</f>
        <v>0</v>
      </c>
      <c r="E209" s="83">
        <f t="shared" si="7"/>
        <v>0</v>
      </c>
      <c r="F209" s="92">
        <f>Table13[[#This Row],[Staff Delta]]</f>
        <v>0</v>
      </c>
      <c r="G209" s="93" t="str">
        <f>Table13[[#This Row],[Economic Sector]]</f>
        <v>Accommodation and food service activities</v>
      </c>
    </row>
    <row r="210" spans="1:7">
      <c r="A210" s="20" t="str">
        <f>Table13[[#This Row],[Governorate]]</f>
        <v>Aqaba</v>
      </c>
      <c r="B210" s="82">
        <f t="shared" si="6"/>
        <v>1</v>
      </c>
      <c r="C210" s="82">
        <v>0</v>
      </c>
      <c r="D210" s="82">
        <f>Table13[[#This Row],[Women-led]]</f>
        <v>1</v>
      </c>
      <c r="E210" s="83">
        <f t="shared" si="7"/>
        <v>1</v>
      </c>
      <c r="F210" s="92">
        <f>Table13[[#This Row],[Staff Delta]]</f>
        <v>0</v>
      </c>
      <c r="G210" s="93" t="str">
        <f>Table13[[#This Row],[Economic Sector]]</f>
        <v>Arts, entertainment and recreation</v>
      </c>
    </row>
    <row r="211" spans="1:7">
      <c r="A211" s="20" t="str">
        <f>Table13[[#This Row],[Governorate]]</f>
        <v>Aqaba</v>
      </c>
      <c r="B211" s="82">
        <f t="shared" si="6"/>
        <v>1</v>
      </c>
      <c r="C211" s="82">
        <v>0</v>
      </c>
      <c r="D211" s="82">
        <f>Table13[[#This Row],[Women-led]]</f>
        <v>1</v>
      </c>
      <c r="E211" s="83">
        <f t="shared" si="7"/>
        <v>1</v>
      </c>
      <c r="F211" s="92">
        <f>Table13[[#This Row],[Staff Delta]]</f>
        <v>0</v>
      </c>
      <c r="G211" s="93" t="str">
        <f>Table13[[#This Row],[Economic Sector]]</f>
        <v>Arts, entertainment and recreation</v>
      </c>
    </row>
    <row r="212" spans="1:7">
      <c r="A212" s="20" t="str">
        <f>Table13[[#This Row],[Governorate]]</f>
        <v>Aqaba</v>
      </c>
      <c r="B212" s="82">
        <f t="shared" si="6"/>
        <v>1</v>
      </c>
      <c r="C212" s="82">
        <v>0</v>
      </c>
      <c r="D212" s="82">
        <f>Table13[[#This Row],[Women-led]]</f>
        <v>1</v>
      </c>
      <c r="E212" s="83">
        <f t="shared" si="7"/>
        <v>1</v>
      </c>
      <c r="F212" s="92">
        <f>Table13[[#This Row],[Staff Delta]]</f>
        <v>0</v>
      </c>
      <c r="G212" s="93" t="str">
        <f>Table13[[#This Row],[Economic Sector]]</f>
        <v>Water supply; sewerage, waste management and remediation activities</v>
      </c>
    </row>
    <row r="213" spans="1:7">
      <c r="A213" s="20" t="str">
        <f>Table13[[#This Row],[Governorate]]</f>
        <v>Aqaba</v>
      </c>
      <c r="B213" s="82">
        <f t="shared" si="6"/>
        <v>1</v>
      </c>
      <c r="C213" s="82">
        <v>1</v>
      </c>
      <c r="D213" s="82">
        <f>Table13[[#This Row],[Women-led]]</f>
        <v>0</v>
      </c>
      <c r="E213" s="83">
        <f t="shared" si="7"/>
        <v>0</v>
      </c>
      <c r="F213" s="92">
        <f>Table13[[#This Row],[Staff Delta]]</f>
        <v>0</v>
      </c>
      <c r="G213" s="93" t="str">
        <f>Table13[[#This Row],[Economic Sector]]</f>
        <v>Education</v>
      </c>
    </row>
    <row r="214" spans="1:7">
      <c r="A214" s="20" t="str">
        <f>Table13[[#This Row],[Governorate]]</f>
        <v>Aqaba</v>
      </c>
      <c r="B214" s="82">
        <f t="shared" si="6"/>
        <v>1</v>
      </c>
      <c r="C214" s="82">
        <v>0</v>
      </c>
      <c r="D214" s="82">
        <f>Table13[[#This Row],[Women-led]]</f>
        <v>1</v>
      </c>
      <c r="E214" s="83">
        <f t="shared" si="7"/>
        <v>1</v>
      </c>
      <c r="F214" s="92">
        <f>Table13[[#This Row],[Staff Delta]]</f>
        <v>0</v>
      </c>
      <c r="G214" s="93" t="str">
        <f>Table13[[#This Row],[Economic Sector]]</f>
        <v>Administrative and support service activities</v>
      </c>
    </row>
    <row r="215" spans="1:7">
      <c r="A215" s="20" t="str">
        <f>Table13[[#This Row],[Governorate]]</f>
        <v>Aqaba</v>
      </c>
      <c r="B215" s="82">
        <f t="shared" si="6"/>
        <v>1</v>
      </c>
      <c r="C215" s="82">
        <v>0</v>
      </c>
      <c r="D215" s="82">
        <f>Table13[[#This Row],[Women-led]]</f>
        <v>1</v>
      </c>
      <c r="E215" s="83">
        <f t="shared" si="7"/>
        <v>1</v>
      </c>
      <c r="F215" s="92">
        <f>Table13[[#This Row],[Staff Delta]]</f>
        <v>0</v>
      </c>
      <c r="G215" s="93" t="str">
        <f>Table13[[#This Row],[Economic Sector]]</f>
        <v>Manufacturing</v>
      </c>
    </row>
    <row r="216" spans="1:7">
      <c r="A216" s="20" t="str">
        <f>Table13[[#This Row],[Governorate]]</f>
        <v>Aqaba</v>
      </c>
      <c r="B216" s="82">
        <f t="shared" si="6"/>
        <v>1</v>
      </c>
      <c r="C216" s="82">
        <v>0</v>
      </c>
      <c r="D216" s="82">
        <f>Table13[[#This Row],[Women-led]]</f>
        <v>1</v>
      </c>
      <c r="E216" s="83">
        <f t="shared" si="7"/>
        <v>1</v>
      </c>
      <c r="F216" s="92">
        <f>Table13[[#This Row],[Staff Delta]]</f>
        <v>2</v>
      </c>
      <c r="G216" s="93" t="str">
        <f>Table13[[#This Row],[Economic Sector]]</f>
        <v>Manufacturing</v>
      </c>
    </row>
    <row r="217" spans="1:7">
      <c r="A217" s="20" t="str">
        <f>Table13[[#This Row],[Governorate]]</f>
        <v>Aqaba</v>
      </c>
      <c r="B217" s="82">
        <f t="shared" si="6"/>
        <v>1</v>
      </c>
      <c r="C217" s="82">
        <v>1</v>
      </c>
      <c r="D217" s="82">
        <f>Table13[[#This Row],[Women-led]]</f>
        <v>0</v>
      </c>
      <c r="E217" s="83">
        <f t="shared" si="7"/>
        <v>0</v>
      </c>
      <c r="F217" s="92">
        <f>Table13[[#This Row],[Staff Delta]]</f>
        <v>0</v>
      </c>
      <c r="G217" s="93" t="str">
        <f>Table13[[#This Row],[Economic Sector]]</f>
        <v>Arts, entertainment and recreation</v>
      </c>
    </row>
    <row r="218" spans="1:7">
      <c r="A218" s="20" t="str">
        <f>Table13[[#This Row],[Governorate]]</f>
        <v>Aqaba</v>
      </c>
      <c r="B218" s="82">
        <f t="shared" si="6"/>
        <v>1</v>
      </c>
      <c r="C218" s="82">
        <v>0</v>
      </c>
      <c r="D218" s="82">
        <f>Table13[[#This Row],[Women-led]]</f>
        <v>1</v>
      </c>
      <c r="E218" s="83">
        <f t="shared" si="7"/>
        <v>1</v>
      </c>
      <c r="F218" s="92">
        <f>Table13[[#This Row],[Staff Delta]]</f>
        <v>0</v>
      </c>
      <c r="G218" s="93" t="str">
        <f>Table13[[#This Row],[Economic Sector]]</f>
        <v>Wholesale and retail trade; repair of motor vehicles and motorcycles</v>
      </c>
    </row>
    <row r="219" spans="1:7">
      <c r="A219" s="20" t="str">
        <f>Table13[[#This Row],[Governorate]]</f>
        <v>Aqaba</v>
      </c>
      <c r="B219" s="82">
        <f t="shared" si="6"/>
        <v>1</v>
      </c>
      <c r="C219" s="82">
        <v>1</v>
      </c>
      <c r="D219" s="82">
        <f>Table13[[#This Row],[Women-led]]</f>
        <v>0</v>
      </c>
      <c r="E219" s="83">
        <f t="shared" si="7"/>
        <v>0</v>
      </c>
      <c r="F219" s="92">
        <f>Table13[[#This Row],[Staff Delta]]</f>
        <v>0</v>
      </c>
      <c r="G219" s="93" t="str">
        <f>Table13[[#This Row],[Economic Sector]]</f>
        <v>Transportation and storage</v>
      </c>
    </row>
    <row r="220" spans="1:7">
      <c r="A220" s="20" t="str">
        <f>Table13[[#This Row],[Governorate]]</f>
        <v>Aqaba</v>
      </c>
      <c r="B220" s="82">
        <f t="shared" si="6"/>
        <v>1</v>
      </c>
      <c r="C220" s="82">
        <v>1</v>
      </c>
      <c r="D220" s="82">
        <f>Table13[[#This Row],[Women-led]]</f>
        <v>0</v>
      </c>
      <c r="E220" s="83">
        <f t="shared" si="7"/>
        <v>0</v>
      </c>
      <c r="F220" s="92">
        <f>Table13[[#This Row],[Staff Delta]]</f>
        <v>0</v>
      </c>
      <c r="G220" s="93" t="str">
        <f>Table13[[#This Row],[Economic Sector]]</f>
        <v>Arts, entertainment and recreation</v>
      </c>
    </row>
    <row r="221" spans="1:7">
      <c r="A221" s="20" t="str">
        <f>Table13[[#This Row],[Governorate]]</f>
        <v>Aqaba</v>
      </c>
      <c r="B221" s="82">
        <f t="shared" si="6"/>
        <v>1</v>
      </c>
      <c r="C221" s="82">
        <v>0</v>
      </c>
      <c r="D221" s="82">
        <f>Table13[[#This Row],[Women-led]]</f>
        <v>1</v>
      </c>
      <c r="E221" s="83">
        <f t="shared" si="7"/>
        <v>1</v>
      </c>
      <c r="F221" s="92">
        <f>Table13[[#This Row],[Staff Delta]]</f>
        <v>1</v>
      </c>
      <c r="G221" s="93" t="str">
        <f>Table13[[#This Row],[Economic Sector]]</f>
        <v>Administrative and support service activities</v>
      </c>
    </row>
    <row r="222" spans="1:7">
      <c r="A222" s="20" t="str">
        <f>Table13[[#This Row],[Governorate]]</f>
        <v>Aqaba</v>
      </c>
      <c r="B222" s="82">
        <f t="shared" si="6"/>
        <v>1</v>
      </c>
      <c r="C222" s="82">
        <v>1</v>
      </c>
      <c r="D222" s="82">
        <f>Table13[[#This Row],[Women-led]]</f>
        <v>0</v>
      </c>
      <c r="E222" s="83">
        <f t="shared" si="7"/>
        <v>0</v>
      </c>
      <c r="F222" s="92">
        <f>Table13[[#This Row],[Staff Delta]]</f>
        <v>0</v>
      </c>
      <c r="G222" s="93" t="str">
        <f>Table13[[#This Row],[Economic Sector]]</f>
        <v>Information and communication</v>
      </c>
    </row>
    <row r="223" spans="1:7">
      <c r="A223" s="20" t="str">
        <f>Table13[[#This Row],[Governorate]]</f>
        <v>Aqaba</v>
      </c>
      <c r="B223" s="82">
        <f t="shared" si="6"/>
        <v>1</v>
      </c>
      <c r="C223" s="82">
        <v>1</v>
      </c>
      <c r="D223" s="82">
        <f>Table13[[#This Row],[Women-led]]</f>
        <v>0</v>
      </c>
      <c r="E223" s="83">
        <f t="shared" si="7"/>
        <v>0</v>
      </c>
      <c r="F223" s="92">
        <f>Table13[[#This Row],[Staff Delta]]</f>
        <v>0</v>
      </c>
      <c r="G223" s="93" t="str">
        <f>Table13[[#This Row],[Economic Sector]]</f>
        <v>Administrative and support service activities</v>
      </c>
    </row>
    <row r="224" spans="1:7">
      <c r="A224" s="20" t="str">
        <f>Table13[[#This Row],[Governorate]]</f>
        <v>Aqaba</v>
      </c>
      <c r="B224" s="82">
        <f t="shared" si="6"/>
        <v>1</v>
      </c>
      <c r="C224" s="82">
        <v>0</v>
      </c>
      <c r="D224" s="82">
        <f>Table13[[#This Row],[Women-led]]</f>
        <v>1</v>
      </c>
      <c r="E224" s="83">
        <f t="shared" si="7"/>
        <v>1</v>
      </c>
      <c r="F224" s="92">
        <f>Table13[[#This Row],[Staff Delta]]</f>
        <v>1</v>
      </c>
      <c r="G224" s="93" t="str">
        <f>Table13[[#This Row],[Economic Sector]]</f>
        <v>Manufacturing</v>
      </c>
    </row>
    <row r="225" spans="1:7">
      <c r="A225" s="20" t="str">
        <f>Table13[[#This Row],[Governorate]]</f>
        <v>Aqaba</v>
      </c>
      <c r="B225" s="82">
        <f t="shared" si="6"/>
        <v>1</v>
      </c>
      <c r="C225" s="82">
        <v>0</v>
      </c>
      <c r="D225" s="82">
        <f>Table13[[#This Row],[Women-led]]</f>
        <v>1</v>
      </c>
      <c r="E225" s="83">
        <f t="shared" si="7"/>
        <v>1</v>
      </c>
      <c r="F225" s="92">
        <f>Table13[[#This Row],[Staff Delta]]</f>
        <v>0</v>
      </c>
      <c r="G225" s="93" t="str">
        <f>Table13[[#This Row],[Economic Sector]]</f>
        <v>Professional, scientific and technical activities</v>
      </c>
    </row>
    <row r="226" spans="1:7">
      <c r="A226" s="20" t="str">
        <f>Table13[[#This Row],[Governorate]]</f>
        <v>Aqaba</v>
      </c>
      <c r="B226" s="82">
        <f t="shared" si="6"/>
        <v>1</v>
      </c>
      <c r="C226" s="82">
        <v>0</v>
      </c>
      <c r="D226" s="82">
        <f>Table13[[#This Row],[Women-led]]</f>
        <v>1</v>
      </c>
      <c r="E226" s="83">
        <f t="shared" si="7"/>
        <v>1</v>
      </c>
      <c r="F226" s="92">
        <f>Table13[[#This Row],[Staff Delta]]</f>
        <v>0</v>
      </c>
      <c r="G226" s="93" t="str">
        <f>Table13[[#This Row],[Economic Sector]]</f>
        <v>Manufacturing</v>
      </c>
    </row>
    <row r="227" spans="1:7">
      <c r="A227" s="20" t="str">
        <f>Table13[[#This Row],[Governorate]]</f>
        <v>Aqaba</v>
      </c>
      <c r="B227" s="82">
        <f t="shared" si="6"/>
        <v>1</v>
      </c>
      <c r="C227" s="82">
        <v>1</v>
      </c>
      <c r="D227" s="82">
        <f>Table13[[#This Row],[Women-led]]</f>
        <v>0</v>
      </c>
      <c r="E227" s="83">
        <f t="shared" si="7"/>
        <v>0</v>
      </c>
      <c r="F227" s="92">
        <f>Table13[[#This Row],[Staff Delta]]</f>
        <v>0</v>
      </c>
      <c r="G227" s="93" t="str">
        <f>Table13[[#This Row],[Economic Sector]]</f>
        <v>Financial and insurance activities</v>
      </c>
    </row>
    <row r="228" spans="1:7">
      <c r="A228" s="20" t="str">
        <f>Table13[[#This Row],[Governorate]]</f>
        <v>Aqaba</v>
      </c>
      <c r="B228" s="82">
        <f t="shared" si="6"/>
        <v>1</v>
      </c>
      <c r="C228" s="82">
        <v>1</v>
      </c>
      <c r="D228" s="82">
        <f>Table13[[#This Row],[Women-led]]</f>
        <v>0</v>
      </c>
      <c r="E228" s="83">
        <f t="shared" si="7"/>
        <v>0</v>
      </c>
      <c r="F228" s="92">
        <f>Table13[[#This Row],[Staff Delta]]</f>
        <v>0</v>
      </c>
      <c r="G228" s="93" t="str">
        <f>Table13[[#This Row],[Economic Sector]]</f>
        <v>Arts, entertainment and recreation</v>
      </c>
    </row>
    <row r="229" spans="1:7">
      <c r="A229" s="20" t="str">
        <f>Table13[[#This Row],[Governorate]]</f>
        <v>Aqaba</v>
      </c>
      <c r="B229" s="82">
        <f t="shared" si="6"/>
        <v>1</v>
      </c>
      <c r="C229" s="82">
        <v>0</v>
      </c>
      <c r="D229" s="82">
        <f>Table13[[#This Row],[Women-led]]</f>
        <v>1</v>
      </c>
      <c r="E229" s="83">
        <f t="shared" si="7"/>
        <v>1</v>
      </c>
      <c r="F229" s="92">
        <f>Table13[[#This Row],[Staff Delta]]</f>
        <v>0</v>
      </c>
      <c r="G229" s="93" t="str">
        <f>Table13[[#This Row],[Economic Sector]]</f>
        <v>Manufacturing</v>
      </c>
    </row>
    <row r="230" spans="1:7">
      <c r="A230" s="20" t="str">
        <f>Table13[[#This Row],[Governorate]]</f>
        <v>Aqaba</v>
      </c>
      <c r="B230" s="82">
        <f t="shared" si="6"/>
        <v>1</v>
      </c>
      <c r="C230" s="82">
        <v>1</v>
      </c>
      <c r="D230" s="82">
        <f>Table13[[#This Row],[Women-led]]</f>
        <v>0</v>
      </c>
      <c r="E230" s="83">
        <f t="shared" si="7"/>
        <v>0</v>
      </c>
      <c r="F230" s="92">
        <f>Table13[[#This Row],[Staff Delta]]</f>
        <v>0</v>
      </c>
      <c r="G230" s="93" t="str">
        <f>Table13[[#This Row],[Economic Sector]]</f>
        <v>Arts, entertainment and recreation</v>
      </c>
    </row>
    <row r="231" spans="1:7">
      <c r="A231" s="20" t="str">
        <f>Table13[[#This Row],[Governorate]]</f>
        <v>Aqaba</v>
      </c>
      <c r="B231" s="82">
        <f t="shared" si="6"/>
        <v>1</v>
      </c>
      <c r="C231" s="82">
        <v>0</v>
      </c>
      <c r="D231" s="82">
        <f>Table13[[#This Row],[Women-led]]</f>
        <v>1</v>
      </c>
      <c r="E231" s="83">
        <f t="shared" si="7"/>
        <v>1</v>
      </c>
      <c r="F231" s="92">
        <f>Table13[[#This Row],[Staff Delta]]</f>
        <v>0</v>
      </c>
      <c r="G231" s="93" t="str">
        <f>Table13[[#This Row],[Economic Sector]]</f>
        <v>Arts, entertainment and recreation</v>
      </c>
    </row>
    <row r="232" spans="1:7">
      <c r="A232" s="20" t="str">
        <f>Table13[[#This Row],[Governorate]]</f>
        <v>Aqaba</v>
      </c>
      <c r="B232" s="82">
        <f t="shared" si="6"/>
        <v>1</v>
      </c>
      <c r="C232" s="82">
        <v>0</v>
      </c>
      <c r="D232" s="82">
        <f>Table13[[#This Row],[Women-led]]</f>
        <v>1</v>
      </c>
      <c r="E232" s="83">
        <f t="shared" si="7"/>
        <v>1</v>
      </c>
      <c r="F232" s="92">
        <f>Table13[[#This Row],[Staff Delta]]</f>
        <v>2</v>
      </c>
      <c r="G232" s="93" t="str">
        <f>Table13[[#This Row],[Economic Sector]]</f>
        <v>Information and communication</v>
      </c>
    </row>
    <row r="233" spans="1:7">
      <c r="A233" s="20" t="str">
        <f>Table13[[#This Row],[Governorate]]</f>
        <v>Aqaba</v>
      </c>
      <c r="B233" s="82">
        <f t="shared" si="6"/>
        <v>1</v>
      </c>
      <c r="C233" s="82">
        <v>1</v>
      </c>
      <c r="D233" s="82">
        <f>Table13[[#This Row],[Women-led]]</f>
        <v>0</v>
      </c>
      <c r="E233" s="83">
        <f t="shared" si="7"/>
        <v>0</v>
      </c>
      <c r="F233" s="92">
        <f>Table13[[#This Row],[Staff Delta]]</f>
        <v>0</v>
      </c>
      <c r="G233" s="93" t="str">
        <f>Table13[[#This Row],[Economic Sector]]</f>
        <v>Arts, entertainment and recreation</v>
      </c>
    </row>
    <row r="234" spans="1:7">
      <c r="A234" s="20" t="str">
        <f>Table13[[#This Row],[Governorate]]</f>
        <v>Aqaba</v>
      </c>
      <c r="B234" s="82">
        <f t="shared" si="6"/>
        <v>1</v>
      </c>
      <c r="C234" s="82">
        <v>0</v>
      </c>
      <c r="D234" s="82">
        <f>Table13[[#This Row],[Women-led]]</f>
        <v>1</v>
      </c>
      <c r="E234" s="83">
        <f t="shared" si="7"/>
        <v>1</v>
      </c>
      <c r="F234" s="92">
        <f>Table13[[#This Row],[Staff Delta]]</f>
        <v>1</v>
      </c>
      <c r="G234" s="93" t="str">
        <f>Table13[[#This Row],[Economic Sector]]</f>
        <v>Wholesale and retail trade; repair of motor vehicles and motorcycles</v>
      </c>
    </row>
    <row r="235" spans="1:7">
      <c r="A235" s="20" t="str">
        <f>Table13[[#This Row],[Governorate]]</f>
        <v>Aqaba</v>
      </c>
      <c r="B235" s="82">
        <f t="shared" si="6"/>
        <v>1</v>
      </c>
      <c r="C235" s="82">
        <v>1</v>
      </c>
      <c r="D235" s="82">
        <f>Table13[[#This Row],[Women-led]]</f>
        <v>0</v>
      </c>
      <c r="E235" s="83">
        <f t="shared" si="7"/>
        <v>0</v>
      </c>
      <c r="F235" s="92">
        <f>Table13[[#This Row],[Staff Delta]]</f>
        <v>0</v>
      </c>
      <c r="G235" s="93" t="str">
        <f>Table13[[#This Row],[Economic Sector]]</f>
        <v>Manufacturing</v>
      </c>
    </row>
    <row r="236" spans="1:7">
      <c r="A236" s="20" t="str">
        <f>Table13[[#This Row],[Governorate]]</f>
        <v>Aqaba</v>
      </c>
      <c r="B236" s="82">
        <f t="shared" si="6"/>
        <v>1</v>
      </c>
      <c r="C236" s="82">
        <v>1</v>
      </c>
      <c r="D236" s="82">
        <f>Table13[[#This Row],[Women-led]]</f>
        <v>0</v>
      </c>
      <c r="E236" s="83">
        <f t="shared" si="7"/>
        <v>0</v>
      </c>
      <c r="F236" s="92">
        <f>Table13[[#This Row],[Staff Delta]]</f>
        <v>1</v>
      </c>
      <c r="G236" s="93" t="str">
        <f>Table13[[#This Row],[Economic Sector]]</f>
        <v>Information and communication</v>
      </c>
    </row>
    <row r="237" spans="1:7">
      <c r="A237" s="20" t="str">
        <f>Table13[[#This Row],[Governorate]]</f>
        <v>Aqaba</v>
      </c>
      <c r="B237" s="82">
        <f t="shared" si="6"/>
        <v>1</v>
      </c>
      <c r="C237" s="82">
        <v>0</v>
      </c>
      <c r="D237" s="82">
        <f>Table13[[#This Row],[Women-led]]</f>
        <v>1</v>
      </c>
      <c r="E237" s="83">
        <f t="shared" si="7"/>
        <v>1</v>
      </c>
      <c r="F237" s="92">
        <f>Table13[[#This Row],[Staff Delta]]</f>
        <v>3</v>
      </c>
      <c r="G237" s="93" t="str">
        <f>Table13[[#This Row],[Economic Sector]]</f>
        <v>Manufacturing</v>
      </c>
    </row>
    <row r="238" spans="1:7">
      <c r="A238" s="20" t="str">
        <f>Table13[[#This Row],[Governorate]]</f>
        <v>Aqaba</v>
      </c>
      <c r="B238" s="82">
        <f t="shared" si="6"/>
        <v>1</v>
      </c>
      <c r="C238" s="82">
        <v>0</v>
      </c>
      <c r="D238" s="82">
        <f>Table13[[#This Row],[Women-led]]</f>
        <v>1</v>
      </c>
      <c r="E238" s="83">
        <f t="shared" si="7"/>
        <v>1</v>
      </c>
      <c r="F238" s="92">
        <f>Table13[[#This Row],[Staff Delta]]</f>
        <v>1</v>
      </c>
      <c r="G238" s="93" t="str">
        <f>Table13[[#This Row],[Economic Sector]]</f>
        <v>Information and communication</v>
      </c>
    </row>
    <row r="239" spans="1:7">
      <c r="A239" s="20" t="str">
        <f>Table13[[#This Row],[Governorate]]</f>
        <v>Aqaba</v>
      </c>
      <c r="B239" s="82">
        <f t="shared" si="6"/>
        <v>1</v>
      </c>
      <c r="C239" s="82">
        <v>1</v>
      </c>
      <c r="D239" s="82">
        <f>Table13[[#This Row],[Women-led]]</f>
        <v>0</v>
      </c>
      <c r="E239" s="83">
        <f t="shared" si="7"/>
        <v>0</v>
      </c>
      <c r="F239" s="92">
        <f>Table13[[#This Row],[Staff Delta]]</f>
        <v>0</v>
      </c>
      <c r="G239" s="93" t="str">
        <f>Table13[[#This Row],[Economic Sector]]</f>
        <v>Agriculture, forestry and fishing</v>
      </c>
    </row>
    <row r="240" spans="1:7">
      <c r="A240" s="20" t="str">
        <f>Table13[[#This Row],[Governorate]]</f>
        <v>Aqaba</v>
      </c>
      <c r="B240" s="82">
        <f t="shared" si="6"/>
        <v>1</v>
      </c>
      <c r="C240" s="82">
        <v>0</v>
      </c>
      <c r="D240" s="82">
        <f>Table13[[#This Row],[Women-led]]</f>
        <v>1</v>
      </c>
      <c r="E240" s="83">
        <f t="shared" si="7"/>
        <v>1</v>
      </c>
      <c r="F240" s="92">
        <f>Table13[[#This Row],[Staff Delta]]</f>
        <v>0</v>
      </c>
      <c r="G240" s="93" t="str">
        <f>Table13[[#This Row],[Economic Sector]]</f>
        <v>Arts, entertainment and recreation</v>
      </c>
    </row>
    <row r="241" spans="1:7">
      <c r="A241" s="20" t="str">
        <f>Table13[[#This Row],[Governorate]]</f>
        <v>Aqaba</v>
      </c>
      <c r="B241" s="82">
        <f t="shared" si="6"/>
        <v>1</v>
      </c>
      <c r="C241" s="82">
        <v>1</v>
      </c>
      <c r="D241" s="82">
        <f>Table13[[#This Row],[Women-led]]</f>
        <v>0</v>
      </c>
      <c r="E241" s="83">
        <f t="shared" si="7"/>
        <v>0</v>
      </c>
      <c r="F241" s="92">
        <f>Table13[[#This Row],[Staff Delta]]</f>
        <v>0</v>
      </c>
      <c r="G241" s="93" t="str">
        <f>Table13[[#This Row],[Economic Sector]]</f>
        <v>Professional, scientific and technical activities</v>
      </c>
    </row>
    <row r="242" spans="1:7">
      <c r="A242" s="20" t="str">
        <f>Table13[[#This Row],[Governorate]]</f>
        <v>Aqaba</v>
      </c>
      <c r="B242" s="82">
        <f t="shared" si="6"/>
        <v>1</v>
      </c>
      <c r="C242" s="82">
        <v>0</v>
      </c>
      <c r="D242" s="82">
        <f>Table13[[#This Row],[Women-led]]</f>
        <v>1</v>
      </c>
      <c r="E242" s="83">
        <f t="shared" si="7"/>
        <v>1</v>
      </c>
      <c r="F242" s="92">
        <f>Table13[[#This Row],[Staff Delta]]</f>
        <v>0</v>
      </c>
      <c r="G242" s="93" t="str">
        <f>Table13[[#This Row],[Economic Sector]]</f>
        <v>Administrative and support service activities</v>
      </c>
    </row>
    <row r="243" spans="1:7">
      <c r="A243" s="20" t="str">
        <f>Table13[[#This Row],[Governorate]]</f>
        <v>Aqaba</v>
      </c>
      <c r="B243" s="82">
        <f t="shared" si="6"/>
        <v>1</v>
      </c>
      <c r="C243" s="82">
        <v>1</v>
      </c>
      <c r="D243" s="82">
        <f>Table13[[#This Row],[Women-led]]</f>
        <v>0</v>
      </c>
      <c r="E243" s="83">
        <f t="shared" si="7"/>
        <v>0</v>
      </c>
      <c r="F243" s="92">
        <f>Table13[[#This Row],[Staff Delta]]</f>
        <v>0</v>
      </c>
      <c r="G243" s="93" t="str">
        <f>Table13[[#This Row],[Economic Sector]]</f>
        <v>Manufacturing</v>
      </c>
    </row>
    <row r="244" spans="1:7">
      <c r="A244" s="20" t="str">
        <f>Table13[[#This Row],[Governorate]]</f>
        <v>Aqaba</v>
      </c>
      <c r="B244" s="82">
        <f t="shared" si="6"/>
        <v>1</v>
      </c>
      <c r="C244" s="82">
        <v>0</v>
      </c>
      <c r="D244" s="82">
        <f>Table13[[#This Row],[Women-led]]</f>
        <v>1</v>
      </c>
      <c r="E244" s="83">
        <f t="shared" si="7"/>
        <v>1</v>
      </c>
      <c r="F244" s="92">
        <f>Table13[[#This Row],[Staff Delta]]</f>
        <v>0</v>
      </c>
      <c r="G244" s="93" t="str">
        <f>Table13[[#This Row],[Economic Sector]]</f>
        <v>Human health and social work activities</v>
      </c>
    </row>
    <row r="245" spans="1:7">
      <c r="A245" s="20" t="str">
        <f>Table13[[#This Row],[Governorate]]</f>
        <v>Aqaba</v>
      </c>
      <c r="B245" s="82">
        <f t="shared" si="6"/>
        <v>1</v>
      </c>
      <c r="C245" s="82">
        <v>0</v>
      </c>
      <c r="D245" s="82">
        <f>Table13[[#This Row],[Women-led]]</f>
        <v>1</v>
      </c>
      <c r="E245" s="83">
        <f t="shared" si="7"/>
        <v>1</v>
      </c>
      <c r="F245" s="92">
        <f>Table13[[#This Row],[Staff Delta]]</f>
        <v>0</v>
      </c>
      <c r="G245" s="93" t="str">
        <f>Table13[[#This Row],[Economic Sector]]</f>
        <v>Human health and social work activities</v>
      </c>
    </row>
    <row r="246" spans="1:7">
      <c r="A246" s="20" t="str">
        <f>Table13[[#This Row],[Governorate]]</f>
        <v>Aqaba</v>
      </c>
      <c r="B246" s="82">
        <f t="shared" si="6"/>
        <v>1</v>
      </c>
      <c r="C246" s="82">
        <v>1</v>
      </c>
      <c r="D246" s="82">
        <f>Table13[[#This Row],[Women-led]]</f>
        <v>0</v>
      </c>
      <c r="E246" s="83">
        <f t="shared" si="7"/>
        <v>0</v>
      </c>
      <c r="F246" s="92">
        <f>Table13[[#This Row],[Staff Delta]]</f>
        <v>0</v>
      </c>
      <c r="G246" s="93" t="str">
        <f>Table13[[#This Row],[Economic Sector]]</f>
        <v>Education</v>
      </c>
    </row>
    <row r="247" spans="1:7">
      <c r="A247" s="20" t="str">
        <f>Table13[[#This Row],[Governorate]]</f>
        <v>Aqaba</v>
      </c>
      <c r="B247" s="82">
        <f t="shared" si="6"/>
        <v>1</v>
      </c>
      <c r="C247" s="82">
        <v>1</v>
      </c>
      <c r="D247" s="82">
        <f>Table13[[#This Row],[Women-led]]</f>
        <v>0</v>
      </c>
      <c r="E247" s="83">
        <f t="shared" si="7"/>
        <v>0</v>
      </c>
      <c r="F247" s="92">
        <f>Table13[[#This Row],[Staff Delta]]</f>
        <v>0</v>
      </c>
      <c r="G247" s="93" t="str">
        <f>Table13[[#This Row],[Economic Sector]]</f>
        <v>Manufacturing</v>
      </c>
    </row>
    <row r="248" spans="1:7">
      <c r="A248" s="20" t="str">
        <f>Table13[[#This Row],[Governorate]]</f>
        <v>Aqaba</v>
      </c>
      <c r="B248" s="82">
        <f t="shared" si="6"/>
        <v>1</v>
      </c>
      <c r="C248" s="82">
        <v>1</v>
      </c>
      <c r="D248" s="82">
        <f>Table13[[#This Row],[Women-led]]</f>
        <v>0</v>
      </c>
      <c r="E248" s="83">
        <f t="shared" si="7"/>
        <v>0</v>
      </c>
      <c r="F248" s="92">
        <f>Table13[[#This Row],[Staff Delta]]</f>
        <v>0</v>
      </c>
      <c r="G248" s="93" t="str">
        <f>Table13[[#This Row],[Economic Sector]]</f>
        <v>Administrative and support service activities</v>
      </c>
    </row>
    <row r="249" spans="1:7">
      <c r="A249" s="20" t="str">
        <f>Table13[[#This Row],[Governorate]]</f>
        <v>Aqaba</v>
      </c>
      <c r="B249" s="82">
        <f t="shared" si="6"/>
        <v>1</v>
      </c>
      <c r="C249" s="82">
        <v>1</v>
      </c>
      <c r="D249" s="82">
        <f>Table13[[#This Row],[Women-led]]</f>
        <v>0</v>
      </c>
      <c r="E249" s="83">
        <f t="shared" si="7"/>
        <v>0</v>
      </c>
      <c r="F249" s="92">
        <f>Table13[[#This Row],[Staff Delta]]</f>
        <v>0</v>
      </c>
      <c r="G249" s="93" t="str">
        <f>Table13[[#This Row],[Economic Sector]]</f>
        <v>Manufacturing</v>
      </c>
    </row>
    <row r="250" spans="1:7">
      <c r="A250" s="20" t="str">
        <f>Table13[[#This Row],[Governorate]]</f>
        <v>Aqaba</v>
      </c>
      <c r="B250" s="82">
        <f t="shared" si="6"/>
        <v>1</v>
      </c>
      <c r="C250" s="82">
        <v>0</v>
      </c>
      <c r="D250" s="82">
        <f>Table13[[#This Row],[Women-led]]</f>
        <v>1</v>
      </c>
      <c r="E250" s="83">
        <f t="shared" si="7"/>
        <v>1</v>
      </c>
      <c r="F250" s="92">
        <f>Table13[[#This Row],[Staff Delta]]</f>
        <v>0</v>
      </c>
      <c r="G250" s="93" t="str">
        <f>Table13[[#This Row],[Economic Sector]]</f>
        <v>Manufacturing</v>
      </c>
    </row>
    <row r="251" spans="1:7">
      <c r="A251" s="20" t="str">
        <f>Table13[[#This Row],[Governorate]]</f>
        <v>Balqa</v>
      </c>
      <c r="B251" s="82">
        <f t="shared" si="6"/>
        <v>1</v>
      </c>
      <c r="C251" s="82">
        <v>0</v>
      </c>
      <c r="D251" s="82">
        <f>Table13[[#This Row],[Women-led]]</f>
        <v>1</v>
      </c>
      <c r="E251" s="83">
        <f t="shared" si="7"/>
        <v>1</v>
      </c>
      <c r="F251" s="92">
        <f>Table13[[#This Row],[Staff Delta]]</f>
        <v>3</v>
      </c>
      <c r="G251" s="93" t="str">
        <f>Table13[[#This Row],[Economic Sector]]</f>
        <v>Agriculture, forestry and fishing</v>
      </c>
    </row>
    <row r="252" spans="1:7">
      <c r="A252" s="20" t="str">
        <f>Table13[[#This Row],[Governorate]]</f>
        <v>Balqa</v>
      </c>
      <c r="B252" s="82">
        <f t="shared" si="6"/>
        <v>1</v>
      </c>
      <c r="C252" s="82">
        <v>1</v>
      </c>
      <c r="D252" s="82">
        <f>Table13[[#This Row],[Women-led]]</f>
        <v>0</v>
      </c>
      <c r="E252" s="83">
        <f t="shared" si="7"/>
        <v>0</v>
      </c>
      <c r="F252" s="92">
        <f>Table13[[#This Row],[Staff Delta]]</f>
        <v>0</v>
      </c>
      <c r="G252" s="93" t="str">
        <f>Table13[[#This Row],[Economic Sector]]</f>
        <v>Electricity, gas, steam and air conditioning supply</v>
      </c>
    </row>
    <row r="253" spans="1:7">
      <c r="A253" s="20" t="str">
        <f>Table13[[#This Row],[Governorate]]</f>
        <v>Balqa</v>
      </c>
      <c r="B253" s="82">
        <f t="shared" si="6"/>
        <v>1</v>
      </c>
      <c r="C253" s="82">
        <v>0</v>
      </c>
      <c r="D253" s="82">
        <f>Table13[[#This Row],[Women-led]]</f>
        <v>1</v>
      </c>
      <c r="E253" s="83">
        <f t="shared" si="7"/>
        <v>1</v>
      </c>
      <c r="F253" s="92">
        <f>Table13[[#This Row],[Staff Delta]]</f>
        <v>0</v>
      </c>
      <c r="G253" s="93" t="str">
        <f>Table13[[#This Row],[Economic Sector]]</f>
        <v>Agriculture, forestry and fishing</v>
      </c>
    </row>
    <row r="254" spans="1:7">
      <c r="A254" s="20" t="str">
        <f>Table13[[#This Row],[Governorate]]</f>
        <v>Balqa</v>
      </c>
      <c r="B254" s="82">
        <f t="shared" si="6"/>
        <v>1</v>
      </c>
      <c r="C254" s="82">
        <v>0</v>
      </c>
      <c r="D254" s="82">
        <f>Table13[[#This Row],[Women-led]]</f>
        <v>1</v>
      </c>
      <c r="E254" s="83">
        <f t="shared" si="7"/>
        <v>1</v>
      </c>
      <c r="F254" s="92">
        <f>Table13[[#This Row],[Staff Delta]]</f>
        <v>0</v>
      </c>
      <c r="G254" s="93" t="str">
        <f>Table13[[#This Row],[Economic Sector]]</f>
        <v>Water supply; sewerage, waste management and remediation activities</v>
      </c>
    </row>
    <row r="255" spans="1:7">
      <c r="A255" s="20" t="str">
        <f>Table13[[#This Row],[Governorate]]</f>
        <v>Irbid</v>
      </c>
      <c r="B255" s="82">
        <f t="shared" si="6"/>
        <v>1</v>
      </c>
      <c r="C255" s="82">
        <v>0</v>
      </c>
      <c r="D255" s="82">
        <f>Table13[[#This Row],[Women-led]]</f>
        <v>1</v>
      </c>
      <c r="E255" s="83">
        <f t="shared" si="7"/>
        <v>1</v>
      </c>
      <c r="F255" s="92">
        <f>Table13[[#This Row],[Staff Delta]]</f>
        <v>5</v>
      </c>
      <c r="G255" s="93" t="str">
        <f>Table13[[#This Row],[Economic Sector]]</f>
        <v>Agriculture</v>
      </c>
    </row>
    <row r="256" spans="1:7">
      <c r="A256" s="20" t="str">
        <f>Table13[[#This Row],[Governorate]]</f>
        <v>Irbid</v>
      </c>
      <c r="B256" s="82">
        <f t="shared" si="6"/>
        <v>1</v>
      </c>
      <c r="C256" s="82">
        <v>0</v>
      </c>
      <c r="D256" s="82">
        <f>Table13[[#This Row],[Women-led]]</f>
        <v>1</v>
      </c>
      <c r="E256" s="83">
        <f t="shared" si="7"/>
        <v>1</v>
      </c>
      <c r="F256" s="92">
        <f>Table13[[#This Row],[Staff Delta]]</f>
        <v>2</v>
      </c>
      <c r="G256" s="93" t="str">
        <f>Table13[[#This Row],[Economic Sector]]</f>
        <v>Agritech</v>
      </c>
    </row>
    <row r="257" spans="1:7">
      <c r="A257" s="20" t="str">
        <f>Table13[[#This Row],[Governorate]]</f>
        <v>Irbid</v>
      </c>
      <c r="B257" s="82">
        <f t="shared" si="6"/>
        <v>1</v>
      </c>
      <c r="C257" s="82">
        <v>0</v>
      </c>
      <c r="D257" s="82">
        <f>Table13[[#This Row],[Women-led]]</f>
        <v>1</v>
      </c>
      <c r="E257" s="83">
        <f t="shared" si="7"/>
        <v>1</v>
      </c>
      <c r="F257" s="92">
        <f>Table13[[#This Row],[Staff Delta]]</f>
        <v>0</v>
      </c>
      <c r="G257" s="93" t="str">
        <f>Table13[[#This Row],[Economic Sector]]</f>
        <v>Agriculture, forestry and fishing</v>
      </c>
    </row>
    <row r="258" spans="1:7">
      <c r="A258" s="20" t="str">
        <f>Table13[[#This Row],[Governorate]]</f>
        <v>Irbid</v>
      </c>
      <c r="B258" s="82">
        <f t="shared" si="6"/>
        <v>1</v>
      </c>
      <c r="C258" s="82">
        <v>0</v>
      </c>
      <c r="D258" s="82">
        <f>Table13[[#This Row],[Women-led]]</f>
        <v>1</v>
      </c>
      <c r="E258" s="83">
        <f t="shared" si="7"/>
        <v>1</v>
      </c>
      <c r="F258" s="92">
        <f>Table13[[#This Row],[Staff Delta]]</f>
        <v>8</v>
      </c>
      <c r="G258" s="93" t="str">
        <f>Table13[[#This Row],[Economic Sector]]</f>
        <v>Agriculture, forestry and fishing</v>
      </c>
    </row>
    <row r="259" spans="1:7">
      <c r="A259" s="20" t="str">
        <f>Table13[[#This Row],[Governorate]]</f>
        <v>Irbid</v>
      </c>
      <c r="B259" s="82">
        <f t="shared" si="6"/>
        <v>1</v>
      </c>
      <c r="C259" s="82">
        <v>0</v>
      </c>
      <c r="D259" s="82">
        <f>Table13[[#This Row],[Women-led]]</f>
        <v>1</v>
      </c>
      <c r="E259" s="83">
        <f t="shared" si="7"/>
        <v>1</v>
      </c>
      <c r="F259" s="92">
        <f>Table13[[#This Row],[Staff Delta]]</f>
        <v>0</v>
      </c>
      <c r="G259" s="93" t="str">
        <f>Table13[[#This Row],[Economic Sector]]</f>
        <v>Information and communication</v>
      </c>
    </row>
    <row r="260" spans="1:7">
      <c r="A260" s="20" t="str">
        <f>Table13[[#This Row],[Governorate]]</f>
        <v>Irbid</v>
      </c>
      <c r="B260" s="82">
        <f t="shared" si="6"/>
        <v>1</v>
      </c>
      <c r="C260" s="82">
        <v>0</v>
      </c>
      <c r="D260" s="82">
        <f>Table13[[#This Row],[Women-led]]</f>
        <v>1</v>
      </c>
      <c r="E260" s="83">
        <f t="shared" si="7"/>
        <v>1</v>
      </c>
      <c r="F260" s="92">
        <f>Table13[[#This Row],[Staff Delta]]</f>
        <v>3</v>
      </c>
      <c r="G260" s="93" t="str">
        <f>Table13[[#This Row],[Economic Sector]]</f>
        <v>Manufacturing</v>
      </c>
    </row>
    <row r="261" spans="1:7">
      <c r="A261" s="20" t="str">
        <f>Table13[[#This Row],[Governorate]]</f>
        <v>Irbid</v>
      </c>
      <c r="B261" s="82">
        <f t="shared" si="6"/>
        <v>1</v>
      </c>
      <c r="C261" s="82">
        <v>0</v>
      </c>
      <c r="D261" s="82">
        <f>Table13[[#This Row],[Women-led]]</f>
        <v>1</v>
      </c>
      <c r="E261" s="83">
        <f t="shared" si="7"/>
        <v>1</v>
      </c>
      <c r="F261" s="92">
        <f>Table13[[#This Row],[Staff Delta]]</f>
        <v>3</v>
      </c>
      <c r="G261" s="93" t="str">
        <f>Table13[[#This Row],[Economic Sector]]</f>
        <v>Water supply; sewerage, waste management and remediation activities</v>
      </c>
    </row>
    <row r="262" spans="1:7">
      <c r="A262" s="20" t="str">
        <f>Table13[[#This Row],[Governorate]]</f>
        <v>Irbid</v>
      </c>
      <c r="B262" s="82">
        <f t="shared" ref="B262:B325" si="8">C262+D262</f>
        <v>1</v>
      </c>
      <c r="C262" s="82">
        <v>0</v>
      </c>
      <c r="D262" s="82">
        <f>Table13[[#This Row],[Women-led]]</f>
        <v>1</v>
      </c>
      <c r="E262" s="83">
        <f t="shared" ref="E262:E325" si="9">IF(OR(B262="",D262=""),"",IFERROR(D262/B262,""))</f>
        <v>1</v>
      </c>
      <c r="F262" s="92">
        <f>Table13[[#This Row],[Staff Delta]]</f>
        <v>3</v>
      </c>
      <c r="G262" s="93" t="str">
        <f>Table13[[#This Row],[Economic Sector]]</f>
        <v>Water supply; sewerage, waste management and remediation activities</v>
      </c>
    </row>
    <row r="263" spans="1:7">
      <c r="A263" s="20" t="str">
        <f>Table13[[#This Row],[Governorate]]</f>
        <v>Irbid</v>
      </c>
      <c r="B263" s="82">
        <f t="shared" si="8"/>
        <v>1</v>
      </c>
      <c r="C263" s="82">
        <v>0</v>
      </c>
      <c r="D263" s="82">
        <f>Table13[[#This Row],[Women-led]]</f>
        <v>1</v>
      </c>
      <c r="E263" s="83">
        <f t="shared" si="9"/>
        <v>1</v>
      </c>
      <c r="F263" s="92">
        <f>Table13[[#This Row],[Staff Delta]]</f>
        <v>3</v>
      </c>
      <c r="G263" s="93" t="str">
        <f>Table13[[#This Row],[Economic Sector]]</f>
        <v>Water supply; sewerage, waste management and remediation activities</v>
      </c>
    </row>
    <row r="264" spans="1:7">
      <c r="A264" s="20" t="str">
        <f>Table13[[#This Row],[Governorate]]</f>
        <v>Irbid</v>
      </c>
      <c r="B264" s="82">
        <f t="shared" si="8"/>
        <v>1</v>
      </c>
      <c r="C264" s="82">
        <v>1</v>
      </c>
      <c r="D264" s="82">
        <f>Table13[[#This Row],[Women-led]]</f>
        <v>0</v>
      </c>
      <c r="E264" s="83">
        <f t="shared" si="9"/>
        <v>0</v>
      </c>
      <c r="F264" s="92">
        <f>Table13[[#This Row],[Staff Delta]]</f>
        <v>3</v>
      </c>
      <c r="G264" s="93" t="str">
        <f>Table13[[#This Row],[Economic Sector]]</f>
        <v>Agriculture, forestry and fishing</v>
      </c>
    </row>
    <row r="265" spans="1:7">
      <c r="A265" s="20" t="str">
        <f>Table13[[#This Row],[Governorate]]</f>
        <v>Irbid</v>
      </c>
      <c r="B265" s="82">
        <f t="shared" si="8"/>
        <v>1</v>
      </c>
      <c r="C265" s="82">
        <v>1</v>
      </c>
      <c r="D265" s="82">
        <f>Table13[[#This Row],[Women-led]]</f>
        <v>0</v>
      </c>
      <c r="E265" s="83">
        <f t="shared" si="9"/>
        <v>0</v>
      </c>
      <c r="F265" s="92">
        <f>Table13[[#This Row],[Staff Delta]]</f>
        <v>2</v>
      </c>
      <c r="G265" s="93" t="str">
        <f>Table13[[#This Row],[Economic Sector]]</f>
        <v>Manufacturing</v>
      </c>
    </row>
    <row r="266" spans="1:7">
      <c r="A266" s="20" t="str">
        <f>Table13[[#This Row],[Governorate]]</f>
        <v>Irbid</v>
      </c>
      <c r="B266" s="82">
        <f t="shared" si="8"/>
        <v>1</v>
      </c>
      <c r="C266" s="82">
        <v>0</v>
      </c>
      <c r="D266" s="82">
        <f>Table13[[#This Row],[Women-led]]</f>
        <v>1</v>
      </c>
      <c r="E266" s="83">
        <f t="shared" si="9"/>
        <v>1</v>
      </c>
      <c r="F266" s="92">
        <f>Table13[[#This Row],[Staff Delta]]</f>
        <v>0</v>
      </c>
      <c r="G266" s="93" t="str">
        <f>Table13[[#This Row],[Economic Sector]]</f>
        <v>Manufacturing</v>
      </c>
    </row>
    <row r="267" spans="1:7">
      <c r="A267" s="20" t="str">
        <f>Table13[[#This Row],[Governorate]]</f>
        <v>Irbid</v>
      </c>
      <c r="B267" s="82">
        <f t="shared" si="8"/>
        <v>1</v>
      </c>
      <c r="C267" s="82">
        <v>0</v>
      </c>
      <c r="D267" s="82">
        <f>Table13[[#This Row],[Women-led]]</f>
        <v>1</v>
      </c>
      <c r="E267" s="83">
        <f t="shared" si="9"/>
        <v>1</v>
      </c>
      <c r="F267" s="92">
        <f>Table13[[#This Row],[Staff Delta]]</f>
        <v>3</v>
      </c>
      <c r="G267" s="93" t="str">
        <f>Table13[[#This Row],[Economic Sector]]</f>
        <v>Education</v>
      </c>
    </row>
    <row r="268" spans="1:7">
      <c r="A268" s="20" t="str">
        <f>Table13[[#This Row],[Governorate]]</f>
        <v>Irbid</v>
      </c>
      <c r="B268" s="82">
        <f t="shared" si="8"/>
        <v>1</v>
      </c>
      <c r="C268" s="82">
        <v>0</v>
      </c>
      <c r="D268" s="82">
        <f>Table13[[#This Row],[Women-led]]</f>
        <v>1</v>
      </c>
      <c r="E268" s="83">
        <f t="shared" si="9"/>
        <v>1</v>
      </c>
      <c r="F268" s="92">
        <f>Table13[[#This Row],[Staff Delta]]</f>
        <v>0</v>
      </c>
      <c r="G268" s="93" t="str">
        <f>Table13[[#This Row],[Economic Sector]]</f>
        <v>Manufacturing</v>
      </c>
    </row>
    <row r="269" spans="1:7">
      <c r="A269" s="20" t="str">
        <f>Table13[[#This Row],[Governorate]]</f>
        <v>Irbid</v>
      </c>
      <c r="B269" s="82">
        <f t="shared" si="8"/>
        <v>1</v>
      </c>
      <c r="C269" s="82">
        <v>1</v>
      </c>
      <c r="D269" s="82">
        <f>Table13[[#This Row],[Women-led]]</f>
        <v>0</v>
      </c>
      <c r="E269" s="83">
        <f t="shared" si="9"/>
        <v>0</v>
      </c>
      <c r="F269" s="92">
        <f>Table13[[#This Row],[Staff Delta]]</f>
        <v>0</v>
      </c>
      <c r="G269" s="93" t="str">
        <f>Table13[[#This Row],[Economic Sector]]</f>
        <v>Agriculture, forestry and fishing</v>
      </c>
    </row>
    <row r="270" spans="1:7">
      <c r="A270" s="20" t="str">
        <f>Table13[[#This Row],[Governorate]]</f>
        <v>Irbid</v>
      </c>
      <c r="B270" s="82">
        <f t="shared" si="8"/>
        <v>1</v>
      </c>
      <c r="C270" s="82">
        <v>0</v>
      </c>
      <c r="D270" s="82">
        <f>Table13[[#This Row],[Women-led]]</f>
        <v>1</v>
      </c>
      <c r="E270" s="83">
        <f t="shared" si="9"/>
        <v>1</v>
      </c>
      <c r="F270" s="92">
        <f>Table13[[#This Row],[Staff Delta]]</f>
        <v>4</v>
      </c>
      <c r="G270" s="93" t="str">
        <f>Table13[[#This Row],[Economic Sector]]</f>
        <v>Agriculture, forestry and fishing</v>
      </c>
    </row>
    <row r="271" spans="1:7">
      <c r="A271" s="20" t="str">
        <f>Table13[[#This Row],[Governorate]]</f>
        <v>Irbid</v>
      </c>
      <c r="B271" s="82">
        <f t="shared" si="8"/>
        <v>1</v>
      </c>
      <c r="C271" s="82">
        <v>0</v>
      </c>
      <c r="D271" s="82">
        <f>Table13[[#This Row],[Women-led]]</f>
        <v>1</v>
      </c>
      <c r="E271" s="83">
        <f t="shared" si="9"/>
        <v>1</v>
      </c>
      <c r="F271" s="92">
        <f>Table13[[#This Row],[Staff Delta]]</f>
        <v>3</v>
      </c>
      <c r="G271" s="93" t="str">
        <f>Table13[[#This Row],[Economic Sector]]</f>
        <v>Education</v>
      </c>
    </row>
    <row r="272" spans="1:7">
      <c r="A272" s="20" t="str">
        <f>Table13[[#This Row],[Governorate]]</f>
        <v>Irbid</v>
      </c>
      <c r="B272" s="82">
        <f t="shared" si="8"/>
        <v>1</v>
      </c>
      <c r="C272" s="82">
        <v>1</v>
      </c>
      <c r="D272" s="82">
        <f>Table13[[#This Row],[Women-led]]</f>
        <v>0</v>
      </c>
      <c r="E272" s="83">
        <f t="shared" si="9"/>
        <v>0</v>
      </c>
      <c r="F272" s="92">
        <f>Table13[[#This Row],[Staff Delta]]</f>
        <v>3</v>
      </c>
      <c r="G272" s="93" t="str">
        <f>Table13[[#This Row],[Economic Sector]]</f>
        <v>Education</v>
      </c>
    </row>
    <row r="273" spans="1:7">
      <c r="A273" s="20" t="str">
        <f>Table13[[#This Row],[Governorate]]</f>
        <v>Irbid</v>
      </c>
      <c r="B273" s="82">
        <f t="shared" si="8"/>
        <v>1</v>
      </c>
      <c r="C273" s="82">
        <v>1</v>
      </c>
      <c r="D273" s="82">
        <f>Table13[[#This Row],[Women-led]]</f>
        <v>0</v>
      </c>
      <c r="E273" s="83">
        <f t="shared" si="9"/>
        <v>0</v>
      </c>
      <c r="F273" s="92">
        <f>Table13[[#This Row],[Staff Delta]]</f>
        <v>2</v>
      </c>
      <c r="G273" s="93" t="str">
        <f>Table13[[#This Row],[Economic Sector]]</f>
        <v>Human health and social work activities</v>
      </c>
    </row>
    <row r="274" spans="1:7">
      <c r="A274" s="20" t="str">
        <f>Table13[[#This Row],[Governorate]]</f>
        <v>Irbid</v>
      </c>
      <c r="B274" s="82">
        <f t="shared" si="8"/>
        <v>1</v>
      </c>
      <c r="C274" s="82">
        <v>1</v>
      </c>
      <c r="D274" s="82">
        <f>Table13[[#This Row],[Women-led]]</f>
        <v>0</v>
      </c>
      <c r="E274" s="83">
        <f t="shared" si="9"/>
        <v>0</v>
      </c>
      <c r="F274" s="92">
        <f>Table13[[#This Row],[Staff Delta]]</f>
        <v>1</v>
      </c>
      <c r="G274" s="93" t="str">
        <f>Table13[[#This Row],[Economic Sector]]</f>
        <v>Manufacturing</v>
      </c>
    </row>
    <row r="275" spans="1:7">
      <c r="A275" s="20" t="str">
        <f>Table13[[#This Row],[Governorate]]</f>
        <v>Irbid</v>
      </c>
      <c r="B275" s="82">
        <f t="shared" si="8"/>
        <v>1</v>
      </c>
      <c r="C275" s="82">
        <v>0</v>
      </c>
      <c r="D275" s="82">
        <f>Table13[[#This Row],[Women-led]]</f>
        <v>1</v>
      </c>
      <c r="E275" s="83">
        <f t="shared" si="9"/>
        <v>1</v>
      </c>
      <c r="F275" s="92">
        <f>Table13[[#This Row],[Staff Delta]]</f>
        <v>2</v>
      </c>
      <c r="G275" s="93" t="str">
        <f>Table13[[#This Row],[Economic Sector]]</f>
        <v>Manufacturing</v>
      </c>
    </row>
    <row r="276" spans="1:7">
      <c r="A276" s="20" t="str">
        <f>Table13[[#This Row],[Governorate]]</f>
        <v>Irbid</v>
      </c>
      <c r="B276" s="82">
        <f t="shared" si="8"/>
        <v>1</v>
      </c>
      <c r="C276" s="82">
        <v>0</v>
      </c>
      <c r="D276" s="82">
        <f>Table13[[#This Row],[Women-led]]</f>
        <v>1</v>
      </c>
      <c r="E276" s="83">
        <f t="shared" si="9"/>
        <v>1</v>
      </c>
      <c r="F276" s="92">
        <f>Table13[[#This Row],[Staff Delta]]</f>
        <v>2</v>
      </c>
      <c r="G276" s="93" t="str">
        <f>Table13[[#This Row],[Economic Sector]]</f>
        <v>Manufacturing</v>
      </c>
    </row>
    <row r="277" spans="1:7">
      <c r="A277" s="20" t="str">
        <f>Table13[[#This Row],[Governorate]]</f>
        <v>Irbid</v>
      </c>
      <c r="B277" s="82">
        <f t="shared" si="8"/>
        <v>1</v>
      </c>
      <c r="C277" s="82">
        <v>1</v>
      </c>
      <c r="D277" s="82">
        <f>Table13[[#This Row],[Women-led]]</f>
        <v>0</v>
      </c>
      <c r="E277" s="83">
        <f t="shared" si="9"/>
        <v>0</v>
      </c>
      <c r="F277" s="92">
        <f>Table13[[#This Row],[Staff Delta]]</f>
        <v>0</v>
      </c>
      <c r="G277" s="93" t="str">
        <f>Table13[[#This Row],[Economic Sector]]</f>
        <v>Agriculture, forestry and fishing</v>
      </c>
    </row>
    <row r="278" spans="1:7">
      <c r="A278" s="20" t="str">
        <f>Table13[[#This Row],[Governorate]]</f>
        <v>Irbid</v>
      </c>
      <c r="B278" s="82">
        <f t="shared" si="8"/>
        <v>1</v>
      </c>
      <c r="C278" s="82">
        <v>0</v>
      </c>
      <c r="D278" s="82">
        <f>Table13[[#This Row],[Women-led]]</f>
        <v>1</v>
      </c>
      <c r="E278" s="83">
        <f t="shared" si="9"/>
        <v>1</v>
      </c>
      <c r="F278" s="92">
        <f>Table13[[#This Row],[Staff Delta]]</f>
        <v>0</v>
      </c>
      <c r="G278" s="93" t="str">
        <f>Table13[[#This Row],[Economic Sector]]</f>
        <v>Manufacturing</v>
      </c>
    </row>
    <row r="279" spans="1:7">
      <c r="A279" s="20" t="str">
        <f>Table13[[#This Row],[Governorate]]</f>
        <v>Irbid</v>
      </c>
      <c r="B279" s="82">
        <f t="shared" si="8"/>
        <v>1</v>
      </c>
      <c r="C279" s="82">
        <v>1</v>
      </c>
      <c r="D279" s="82">
        <f>Table13[[#This Row],[Women-led]]</f>
        <v>0</v>
      </c>
      <c r="E279" s="83">
        <f t="shared" si="9"/>
        <v>0</v>
      </c>
      <c r="F279" s="92">
        <f>Table13[[#This Row],[Staff Delta]]</f>
        <v>7</v>
      </c>
      <c r="G279" s="93" t="str">
        <f>Table13[[#This Row],[Economic Sector]]</f>
        <v>Manufacturing</v>
      </c>
    </row>
    <row r="280" spans="1:7">
      <c r="A280" s="20" t="str">
        <f>Table13[[#This Row],[Governorate]]</f>
        <v>Irbid</v>
      </c>
      <c r="B280" s="82">
        <f t="shared" si="8"/>
        <v>1</v>
      </c>
      <c r="C280" s="82">
        <v>0</v>
      </c>
      <c r="D280" s="82">
        <f>Table13[[#This Row],[Women-led]]</f>
        <v>1</v>
      </c>
      <c r="E280" s="83">
        <f t="shared" si="9"/>
        <v>1</v>
      </c>
      <c r="F280" s="92">
        <f>Table13[[#This Row],[Staff Delta]]</f>
        <v>6</v>
      </c>
      <c r="G280" s="93" t="str">
        <f>Table13[[#This Row],[Economic Sector]]</f>
        <v>Manufacturing</v>
      </c>
    </row>
    <row r="281" spans="1:7">
      <c r="A281" s="20" t="str">
        <f>Table13[[#This Row],[Governorate]]</f>
        <v>Irbid</v>
      </c>
      <c r="B281" s="82">
        <f t="shared" si="8"/>
        <v>1</v>
      </c>
      <c r="C281" s="82">
        <v>1</v>
      </c>
      <c r="D281" s="82">
        <f>Table13[[#This Row],[Women-led]]</f>
        <v>0</v>
      </c>
      <c r="E281" s="83">
        <f t="shared" si="9"/>
        <v>0</v>
      </c>
      <c r="F281" s="92">
        <f>Table13[[#This Row],[Staff Delta]]</f>
        <v>0</v>
      </c>
      <c r="G281" s="93" t="str">
        <f>Table13[[#This Row],[Economic Sector]]</f>
        <v>Manufacturing</v>
      </c>
    </row>
    <row r="282" spans="1:7">
      <c r="A282" s="20" t="str">
        <f>Table13[[#This Row],[Governorate]]</f>
        <v>Irbid</v>
      </c>
      <c r="B282" s="82">
        <f t="shared" si="8"/>
        <v>1</v>
      </c>
      <c r="C282" s="82">
        <v>0</v>
      </c>
      <c r="D282" s="82">
        <f>Table13[[#This Row],[Women-led]]</f>
        <v>1</v>
      </c>
      <c r="E282" s="83">
        <f t="shared" si="9"/>
        <v>1</v>
      </c>
      <c r="F282" s="92">
        <f>Table13[[#This Row],[Staff Delta]]</f>
        <v>26</v>
      </c>
      <c r="G282" s="93" t="str">
        <f>Table13[[#This Row],[Economic Sector]]</f>
        <v>Manufacturing</v>
      </c>
    </row>
    <row r="283" spans="1:7">
      <c r="A283" s="20" t="str">
        <f>Table13[[#This Row],[Governorate]]</f>
        <v>Irbid</v>
      </c>
      <c r="B283" s="82">
        <f t="shared" si="8"/>
        <v>1</v>
      </c>
      <c r="C283" s="82">
        <v>0</v>
      </c>
      <c r="D283" s="82">
        <f>Table13[[#This Row],[Women-led]]</f>
        <v>1</v>
      </c>
      <c r="E283" s="83">
        <f t="shared" si="9"/>
        <v>1</v>
      </c>
      <c r="F283" s="92">
        <f>Table13[[#This Row],[Staff Delta]]</f>
        <v>0</v>
      </c>
      <c r="G283" s="93" t="str">
        <f>Table13[[#This Row],[Economic Sector]]</f>
        <v>Manufacturing</v>
      </c>
    </row>
    <row r="284" spans="1:7">
      <c r="A284" s="20" t="str">
        <f>Table13[[#This Row],[Governorate]]</f>
        <v>Irbid</v>
      </c>
      <c r="B284" s="82">
        <f t="shared" si="8"/>
        <v>1</v>
      </c>
      <c r="C284" s="82">
        <v>1</v>
      </c>
      <c r="D284" s="82">
        <f>Table13[[#This Row],[Women-led]]</f>
        <v>0</v>
      </c>
      <c r="E284" s="83">
        <f t="shared" si="9"/>
        <v>0</v>
      </c>
      <c r="F284" s="92">
        <f>Table13[[#This Row],[Staff Delta]]</f>
        <v>0</v>
      </c>
      <c r="G284" s="93" t="str">
        <f>Table13[[#This Row],[Economic Sector]]</f>
        <v>Manufacturing</v>
      </c>
    </row>
    <row r="285" spans="1:7">
      <c r="A285" s="20" t="str">
        <f>Table13[[#This Row],[Governorate]]</f>
        <v>Irbid</v>
      </c>
      <c r="B285" s="82">
        <f t="shared" si="8"/>
        <v>1</v>
      </c>
      <c r="C285" s="82">
        <v>1</v>
      </c>
      <c r="D285" s="82">
        <f>Table13[[#This Row],[Women-led]]</f>
        <v>0</v>
      </c>
      <c r="E285" s="83">
        <f t="shared" si="9"/>
        <v>0</v>
      </c>
      <c r="F285" s="92">
        <f>Table13[[#This Row],[Staff Delta]]</f>
        <v>0</v>
      </c>
      <c r="G285" s="93" t="str">
        <f>Table13[[#This Row],[Economic Sector]]</f>
        <v>Wholesale and retail trade; repair of motor vehicles and motorcycles</v>
      </c>
    </row>
    <row r="286" spans="1:7">
      <c r="A286" s="20" t="str">
        <f>Table13[[#This Row],[Governorate]]</f>
        <v>Irbid</v>
      </c>
      <c r="B286" s="82">
        <f t="shared" si="8"/>
        <v>1</v>
      </c>
      <c r="C286" s="82">
        <v>1</v>
      </c>
      <c r="D286" s="82">
        <f>Table13[[#This Row],[Women-led]]</f>
        <v>0</v>
      </c>
      <c r="E286" s="83">
        <f t="shared" si="9"/>
        <v>0</v>
      </c>
      <c r="F286" s="92">
        <f>Table13[[#This Row],[Staff Delta]]</f>
        <v>2</v>
      </c>
      <c r="G286" s="93" t="str">
        <f>Table13[[#This Row],[Economic Sector]]</f>
        <v>Manufacturing</v>
      </c>
    </row>
    <row r="287" spans="1:7">
      <c r="A287" s="20" t="str">
        <f>Table13[[#This Row],[Governorate]]</f>
        <v>Irbid</v>
      </c>
      <c r="B287" s="82">
        <f t="shared" si="8"/>
        <v>1</v>
      </c>
      <c r="C287" s="82">
        <v>0</v>
      </c>
      <c r="D287" s="82">
        <f>Table13[[#This Row],[Women-led]]</f>
        <v>1</v>
      </c>
      <c r="E287" s="83">
        <f t="shared" si="9"/>
        <v>1</v>
      </c>
      <c r="F287" s="92">
        <f>Table13[[#This Row],[Staff Delta]]</f>
        <v>3</v>
      </c>
      <c r="G287" s="93" t="str">
        <f>Table13[[#This Row],[Economic Sector]]</f>
        <v>Manufacturing</v>
      </c>
    </row>
    <row r="288" spans="1:7">
      <c r="A288" s="20" t="str">
        <f>Table13[[#This Row],[Governorate]]</f>
        <v>Irbid</v>
      </c>
      <c r="B288" s="82">
        <f t="shared" si="8"/>
        <v>1</v>
      </c>
      <c r="C288" s="82">
        <v>0</v>
      </c>
      <c r="D288" s="82">
        <f>Table13[[#This Row],[Women-led]]</f>
        <v>1</v>
      </c>
      <c r="E288" s="83">
        <f t="shared" si="9"/>
        <v>1</v>
      </c>
      <c r="F288" s="92">
        <f>Table13[[#This Row],[Staff Delta]]</f>
        <v>0</v>
      </c>
      <c r="G288" s="93" t="str">
        <f>Table13[[#This Row],[Economic Sector]]</f>
        <v>Manufacturing</v>
      </c>
    </row>
    <row r="289" spans="1:7">
      <c r="A289" s="20" t="str">
        <f>Table13[[#This Row],[Governorate]]</f>
        <v>Irbid</v>
      </c>
      <c r="B289" s="82">
        <f t="shared" si="8"/>
        <v>1</v>
      </c>
      <c r="C289" s="82">
        <v>1</v>
      </c>
      <c r="D289" s="82">
        <f>Table13[[#This Row],[Women-led]]</f>
        <v>0</v>
      </c>
      <c r="E289" s="83">
        <f t="shared" si="9"/>
        <v>0</v>
      </c>
      <c r="F289" s="92">
        <f>Table13[[#This Row],[Staff Delta]]</f>
        <v>0</v>
      </c>
      <c r="G289" s="93" t="str">
        <f>Table13[[#This Row],[Economic Sector]]</f>
        <v>Human health and social work activities</v>
      </c>
    </row>
    <row r="290" spans="1:7">
      <c r="A290" s="20" t="str">
        <f>Table13[[#This Row],[Governorate]]</f>
        <v>Irbid</v>
      </c>
      <c r="B290" s="82">
        <f t="shared" si="8"/>
        <v>1</v>
      </c>
      <c r="C290" s="82">
        <v>0</v>
      </c>
      <c r="D290" s="82">
        <f>Table13[[#This Row],[Women-led]]</f>
        <v>1</v>
      </c>
      <c r="E290" s="83">
        <f t="shared" si="9"/>
        <v>1</v>
      </c>
      <c r="F290" s="92">
        <f>Table13[[#This Row],[Staff Delta]]</f>
        <v>0</v>
      </c>
      <c r="G290" s="93" t="str">
        <f>Table13[[#This Row],[Economic Sector]]</f>
        <v>Manufacturing</v>
      </c>
    </row>
    <row r="291" spans="1:7">
      <c r="A291" s="20" t="str">
        <f>Table13[[#This Row],[Governorate]]</f>
        <v>Irbid</v>
      </c>
      <c r="B291" s="82">
        <f t="shared" si="8"/>
        <v>1</v>
      </c>
      <c r="C291" s="82">
        <v>0</v>
      </c>
      <c r="D291" s="82">
        <f>Table13[[#This Row],[Women-led]]</f>
        <v>1</v>
      </c>
      <c r="E291" s="83">
        <f t="shared" si="9"/>
        <v>1</v>
      </c>
      <c r="F291" s="92">
        <f>Table13[[#This Row],[Staff Delta]]</f>
        <v>0</v>
      </c>
      <c r="G291" s="93" t="str">
        <f>Table13[[#This Row],[Economic Sector]]</f>
        <v>Information and communication</v>
      </c>
    </row>
    <row r="292" spans="1:7">
      <c r="A292" s="20" t="str">
        <f>Table13[[#This Row],[Governorate]]</f>
        <v>Irbid</v>
      </c>
      <c r="B292" s="82">
        <f t="shared" si="8"/>
        <v>1</v>
      </c>
      <c r="C292" s="82">
        <v>0</v>
      </c>
      <c r="D292" s="82">
        <f>Table13[[#This Row],[Women-led]]</f>
        <v>1</v>
      </c>
      <c r="E292" s="83">
        <f t="shared" si="9"/>
        <v>1</v>
      </c>
      <c r="F292" s="92">
        <f>Table13[[#This Row],[Staff Delta]]</f>
        <v>0</v>
      </c>
      <c r="G292" s="93" t="str">
        <f>Table13[[#This Row],[Economic Sector]]</f>
        <v>Manufacturing</v>
      </c>
    </row>
    <row r="293" spans="1:7">
      <c r="A293" s="20" t="str">
        <f>Table13[[#This Row],[Governorate]]</f>
        <v>Irbid</v>
      </c>
      <c r="B293" s="82">
        <f t="shared" si="8"/>
        <v>1</v>
      </c>
      <c r="C293" s="82">
        <v>1</v>
      </c>
      <c r="D293" s="82">
        <f>Table13[[#This Row],[Women-led]]</f>
        <v>0</v>
      </c>
      <c r="E293" s="83">
        <f t="shared" si="9"/>
        <v>0</v>
      </c>
      <c r="F293" s="92">
        <f>Table13[[#This Row],[Staff Delta]]</f>
        <v>0</v>
      </c>
      <c r="G293" s="93" t="str">
        <f>Table13[[#This Row],[Economic Sector]]</f>
        <v>Education</v>
      </c>
    </row>
    <row r="294" spans="1:7">
      <c r="A294" s="20" t="str">
        <f>Table13[[#This Row],[Governorate]]</f>
        <v>Irbid</v>
      </c>
      <c r="B294" s="82">
        <f t="shared" si="8"/>
        <v>1</v>
      </c>
      <c r="C294" s="82">
        <v>0</v>
      </c>
      <c r="D294" s="82">
        <f>Table13[[#This Row],[Women-led]]</f>
        <v>1</v>
      </c>
      <c r="E294" s="83">
        <f t="shared" si="9"/>
        <v>1</v>
      </c>
      <c r="F294" s="92">
        <f>Table13[[#This Row],[Staff Delta]]</f>
        <v>0</v>
      </c>
      <c r="G294" s="93" t="str">
        <f>Table13[[#This Row],[Economic Sector]]</f>
        <v>Manufacturing</v>
      </c>
    </row>
    <row r="295" spans="1:7">
      <c r="A295" s="20" t="str">
        <f>Table13[[#This Row],[Governorate]]</f>
        <v>Irbid</v>
      </c>
      <c r="B295" s="82">
        <f t="shared" si="8"/>
        <v>1</v>
      </c>
      <c r="C295" s="82">
        <v>0</v>
      </c>
      <c r="D295" s="82">
        <f>Table13[[#This Row],[Women-led]]</f>
        <v>1</v>
      </c>
      <c r="E295" s="83">
        <f t="shared" si="9"/>
        <v>1</v>
      </c>
      <c r="F295" s="92">
        <f>Table13[[#This Row],[Staff Delta]]</f>
        <v>0</v>
      </c>
      <c r="G295" s="93" t="str">
        <f>Table13[[#This Row],[Economic Sector]]</f>
        <v>Human health and social work activities</v>
      </c>
    </row>
    <row r="296" spans="1:7">
      <c r="A296" s="20" t="str">
        <f>Table13[[#This Row],[Governorate]]</f>
        <v>Irbid</v>
      </c>
      <c r="B296" s="82">
        <f t="shared" si="8"/>
        <v>1</v>
      </c>
      <c r="C296" s="82">
        <v>0</v>
      </c>
      <c r="D296" s="82">
        <f>Table13[[#This Row],[Women-led]]</f>
        <v>1</v>
      </c>
      <c r="E296" s="83">
        <f t="shared" si="9"/>
        <v>1</v>
      </c>
      <c r="F296" s="92">
        <f>Table13[[#This Row],[Staff Delta]]</f>
        <v>0</v>
      </c>
      <c r="G296" s="93" t="str">
        <f>Table13[[#This Row],[Economic Sector]]</f>
        <v>Manufacturing</v>
      </c>
    </row>
    <row r="297" spans="1:7">
      <c r="A297" s="20" t="str">
        <f>Table13[[#This Row],[Governorate]]</f>
        <v>Irbid</v>
      </c>
      <c r="B297" s="82">
        <f t="shared" si="8"/>
        <v>1</v>
      </c>
      <c r="C297" s="82">
        <v>0</v>
      </c>
      <c r="D297" s="82">
        <f>Table13[[#This Row],[Women-led]]</f>
        <v>1</v>
      </c>
      <c r="E297" s="83">
        <f t="shared" si="9"/>
        <v>1</v>
      </c>
      <c r="F297" s="92">
        <f>Table13[[#This Row],[Staff Delta]]</f>
        <v>0</v>
      </c>
      <c r="G297" s="93" t="str">
        <f>Table13[[#This Row],[Economic Sector]]</f>
        <v>Agriculture, forestry and fishing</v>
      </c>
    </row>
    <row r="298" spans="1:7">
      <c r="A298" s="20" t="str">
        <f>Table13[[#This Row],[Governorate]]</f>
        <v>Irbid</v>
      </c>
      <c r="B298" s="82">
        <f t="shared" si="8"/>
        <v>1</v>
      </c>
      <c r="C298" s="82">
        <v>0</v>
      </c>
      <c r="D298" s="82">
        <f>Table13[[#This Row],[Women-led]]</f>
        <v>1</v>
      </c>
      <c r="E298" s="83">
        <f t="shared" si="9"/>
        <v>1</v>
      </c>
      <c r="F298" s="92">
        <f>Table13[[#This Row],[Staff Delta]]</f>
        <v>0</v>
      </c>
      <c r="G298" s="93" t="str">
        <f>Table13[[#This Row],[Economic Sector]]</f>
        <v>Human health and social work activities</v>
      </c>
    </row>
    <row r="299" spans="1:7">
      <c r="A299" s="20" t="str">
        <f>Table13[[#This Row],[Governorate]]</f>
        <v>Irbid</v>
      </c>
      <c r="B299" s="82">
        <f t="shared" si="8"/>
        <v>1</v>
      </c>
      <c r="C299" s="82">
        <v>0</v>
      </c>
      <c r="D299" s="82">
        <f>Table13[[#This Row],[Women-led]]</f>
        <v>1</v>
      </c>
      <c r="E299" s="83">
        <f t="shared" si="9"/>
        <v>1</v>
      </c>
      <c r="F299" s="92">
        <f>Table13[[#This Row],[Staff Delta]]</f>
        <v>0</v>
      </c>
      <c r="G299" s="93" t="str">
        <f>Table13[[#This Row],[Economic Sector]]</f>
        <v>Manufacturing</v>
      </c>
    </row>
    <row r="300" spans="1:7">
      <c r="A300" s="20" t="str">
        <f>Table13[[#This Row],[Governorate]]</f>
        <v>Irbid</v>
      </c>
      <c r="B300" s="82">
        <f t="shared" si="8"/>
        <v>1</v>
      </c>
      <c r="C300" s="82">
        <v>1</v>
      </c>
      <c r="D300" s="82">
        <f>Table13[[#This Row],[Women-led]]</f>
        <v>0</v>
      </c>
      <c r="E300" s="83">
        <f t="shared" si="9"/>
        <v>0</v>
      </c>
      <c r="F300" s="92">
        <f>Table13[[#This Row],[Staff Delta]]</f>
        <v>0</v>
      </c>
      <c r="G300" s="93" t="str">
        <f>Table13[[#This Row],[Economic Sector]]</f>
        <v>Human health and social work activities</v>
      </c>
    </row>
    <row r="301" spans="1:7">
      <c r="A301" s="20" t="str">
        <f>Table13[[#This Row],[Governorate]]</f>
        <v>Irbid</v>
      </c>
      <c r="B301" s="82">
        <f t="shared" si="8"/>
        <v>1</v>
      </c>
      <c r="C301" s="82">
        <v>0</v>
      </c>
      <c r="D301" s="82">
        <f>Table13[[#This Row],[Women-led]]</f>
        <v>1</v>
      </c>
      <c r="E301" s="83">
        <f t="shared" si="9"/>
        <v>1</v>
      </c>
      <c r="F301" s="92">
        <f>Table13[[#This Row],[Staff Delta]]</f>
        <v>0</v>
      </c>
      <c r="G301" s="93" t="str">
        <f>Table13[[#This Row],[Economic Sector]]</f>
        <v>Manufacturing</v>
      </c>
    </row>
    <row r="302" spans="1:7">
      <c r="A302" s="20" t="str">
        <f>Table13[[#This Row],[Governorate]]</f>
        <v>Irbid</v>
      </c>
      <c r="B302" s="82">
        <f t="shared" si="8"/>
        <v>1</v>
      </c>
      <c r="C302" s="82">
        <v>0</v>
      </c>
      <c r="D302" s="82">
        <f>Table13[[#This Row],[Women-led]]</f>
        <v>1</v>
      </c>
      <c r="E302" s="83">
        <f t="shared" si="9"/>
        <v>1</v>
      </c>
      <c r="F302" s="92">
        <f>Table13[[#This Row],[Staff Delta]]</f>
        <v>0</v>
      </c>
      <c r="G302" s="93" t="str">
        <f>Table13[[#This Row],[Economic Sector]]</f>
        <v>Manufacturing</v>
      </c>
    </row>
    <row r="303" spans="1:7">
      <c r="A303" s="20" t="str">
        <f>Table13[[#This Row],[Governorate]]</f>
        <v>Irbid</v>
      </c>
      <c r="B303" s="82">
        <f t="shared" si="8"/>
        <v>1</v>
      </c>
      <c r="C303" s="82">
        <v>0</v>
      </c>
      <c r="D303" s="82">
        <f>Table13[[#This Row],[Women-led]]</f>
        <v>1</v>
      </c>
      <c r="E303" s="83">
        <f t="shared" si="9"/>
        <v>1</v>
      </c>
      <c r="F303" s="92">
        <f>Table13[[#This Row],[Staff Delta]]</f>
        <v>0</v>
      </c>
      <c r="G303" s="93" t="str">
        <f>Table13[[#This Row],[Economic Sector]]</f>
        <v>Arts, entertainment and recreation</v>
      </c>
    </row>
    <row r="304" spans="1:7">
      <c r="A304" s="20" t="str">
        <f>Table13[[#This Row],[Governorate]]</f>
        <v>Irbid</v>
      </c>
      <c r="B304" s="82">
        <f t="shared" si="8"/>
        <v>1</v>
      </c>
      <c r="C304" s="82">
        <v>0</v>
      </c>
      <c r="D304" s="82">
        <f>Table13[[#This Row],[Women-led]]</f>
        <v>1</v>
      </c>
      <c r="E304" s="83">
        <f t="shared" si="9"/>
        <v>1</v>
      </c>
      <c r="F304" s="92">
        <f>Table13[[#This Row],[Staff Delta]]</f>
        <v>0</v>
      </c>
      <c r="G304" s="93" t="str">
        <f>Table13[[#This Row],[Economic Sector]]</f>
        <v>Manufacturing</v>
      </c>
    </row>
    <row r="305" spans="1:7">
      <c r="A305" s="20" t="str">
        <f>Table13[[#This Row],[Governorate]]</f>
        <v>Irbid</v>
      </c>
      <c r="B305" s="82">
        <f t="shared" si="8"/>
        <v>1</v>
      </c>
      <c r="C305" s="82">
        <v>0</v>
      </c>
      <c r="D305" s="82">
        <f>Table13[[#This Row],[Women-led]]</f>
        <v>1</v>
      </c>
      <c r="E305" s="83">
        <f t="shared" si="9"/>
        <v>1</v>
      </c>
      <c r="F305" s="92">
        <f>Table13[[#This Row],[Staff Delta]]</f>
        <v>0</v>
      </c>
      <c r="G305" s="93" t="str">
        <f>Table13[[#This Row],[Economic Sector]]</f>
        <v>Human health and social work activities</v>
      </c>
    </row>
    <row r="306" spans="1:7">
      <c r="A306" s="20" t="str">
        <f>Table13[[#This Row],[Governorate]]</f>
        <v>Irbid</v>
      </c>
      <c r="B306" s="82">
        <f t="shared" si="8"/>
        <v>1</v>
      </c>
      <c r="C306" s="82">
        <v>0</v>
      </c>
      <c r="D306" s="82">
        <f>Table13[[#This Row],[Women-led]]</f>
        <v>1</v>
      </c>
      <c r="E306" s="83">
        <f t="shared" si="9"/>
        <v>1</v>
      </c>
      <c r="F306" s="92">
        <f>Table13[[#This Row],[Staff Delta]]</f>
        <v>0</v>
      </c>
      <c r="G306" s="93" t="str">
        <f>Table13[[#This Row],[Economic Sector]]</f>
        <v>Professional, scientific and technical activities</v>
      </c>
    </row>
    <row r="307" spans="1:7">
      <c r="A307" s="20" t="str">
        <f>Table13[[#This Row],[Governorate]]</f>
        <v>Irbid</v>
      </c>
      <c r="B307" s="82">
        <f t="shared" si="8"/>
        <v>1</v>
      </c>
      <c r="C307" s="82">
        <v>0</v>
      </c>
      <c r="D307" s="82">
        <f>Table13[[#This Row],[Women-led]]</f>
        <v>1</v>
      </c>
      <c r="E307" s="83">
        <f t="shared" si="9"/>
        <v>1</v>
      </c>
      <c r="F307" s="92">
        <f>Table13[[#This Row],[Staff Delta]]</f>
        <v>0</v>
      </c>
      <c r="G307" s="93" t="str">
        <f>Table13[[#This Row],[Economic Sector]]</f>
        <v>Education</v>
      </c>
    </row>
    <row r="308" spans="1:7">
      <c r="A308" s="20" t="str">
        <f>Table13[[#This Row],[Governorate]]</f>
        <v>Irbid</v>
      </c>
      <c r="B308" s="82">
        <f t="shared" si="8"/>
        <v>1</v>
      </c>
      <c r="C308" s="82">
        <v>1</v>
      </c>
      <c r="D308" s="82">
        <f>Table13[[#This Row],[Women-led]]</f>
        <v>0</v>
      </c>
      <c r="E308" s="83">
        <f t="shared" si="9"/>
        <v>0</v>
      </c>
      <c r="F308" s="92">
        <f>Table13[[#This Row],[Staff Delta]]</f>
        <v>0</v>
      </c>
      <c r="G308" s="93" t="str">
        <f>Table13[[#This Row],[Economic Sector]]</f>
        <v>Information and communication</v>
      </c>
    </row>
    <row r="309" spans="1:7">
      <c r="A309" s="20" t="str">
        <f>Table13[[#This Row],[Governorate]]</f>
        <v>Irbid</v>
      </c>
      <c r="B309" s="82">
        <f t="shared" si="8"/>
        <v>1</v>
      </c>
      <c r="C309" s="82">
        <v>0</v>
      </c>
      <c r="D309" s="82">
        <f>Table13[[#This Row],[Women-led]]</f>
        <v>1</v>
      </c>
      <c r="E309" s="83">
        <f t="shared" si="9"/>
        <v>1</v>
      </c>
      <c r="F309" s="92">
        <f>Table13[[#This Row],[Staff Delta]]</f>
        <v>0</v>
      </c>
      <c r="G309" s="93" t="str">
        <f>Table13[[#This Row],[Economic Sector]]</f>
        <v>Manufacturing</v>
      </c>
    </row>
    <row r="310" spans="1:7">
      <c r="A310" s="20" t="str">
        <f>Table13[[#This Row],[Governorate]]</f>
        <v>Irbid</v>
      </c>
      <c r="B310" s="82">
        <f t="shared" si="8"/>
        <v>1</v>
      </c>
      <c r="C310" s="82">
        <v>1</v>
      </c>
      <c r="D310" s="82">
        <f>Table13[[#This Row],[Women-led]]</f>
        <v>0</v>
      </c>
      <c r="E310" s="83">
        <f t="shared" si="9"/>
        <v>0</v>
      </c>
      <c r="F310" s="92">
        <f>Table13[[#This Row],[Staff Delta]]</f>
        <v>0</v>
      </c>
      <c r="G310" s="93" t="str">
        <f>Table13[[#This Row],[Economic Sector]]</f>
        <v>Education</v>
      </c>
    </row>
    <row r="311" spans="1:7">
      <c r="A311" s="20" t="str">
        <f>Table13[[#This Row],[Governorate]]</f>
        <v>Irbid</v>
      </c>
      <c r="B311" s="82">
        <f t="shared" si="8"/>
        <v>1</v>
      </c>
      <c r="C311" s="82">
        <v>1</v>
      </c>
      <c r="D311" s="82">
        <f>Table13[[#This Row],[Women-led]]</f>
        <v>0</v>
      </c>
      <c r="E311" s="83">
        <f t="shared" si="9"/>
        <v>0</v>
      </c>
      <c r="F311" s="92">
        <f>Table13[[#This Row],[Staff Delta]]</f>
        <v>0</v>
      </c>
      <c r="G311" s="93" t="str">
        <f>Table13[[#This Row],[Economic Sector]]</f>
        <v>Agriculture, forestry and fishing</v>
      </c>
    </row>
    <row r="312" spans="1:7">
      <c r="A312" s="20" t="str">
        <f>Table13[[#This Row],[Governorate]]</f>
        <v>Irbid</v>
      </c>
      <c r="B312" s="82">
        <f t="shared" si="8"/>
        <v>1</v>
      </c>
      <c r="C312" s="82">
        <v>1</v>
      </c>
      <c r="D312" s="82">
        <f>Table13[[#This Row],[Women-led]]</f>
        <v>0</v>
      </c>
      <c r="E312" s="83">
        <f t="shared" si="9"/>
        <v>0</v>
      </c>
      <c r="F312" s="92">
        <f>Table13[[#This Row],[Staff Delta]]</f>
        <v>0</v>
      </c>
      <c r="G312" s="93" t="str">
        <f>Table13[[#This Row],[Economic Sector]]</f>
        <v>Wholesale and retail trade; repair of motor vehicles and motorcycles</v>
      </c>
    </row>
    <row r="313" spans="1:7">
      <c r="A313" s="20" t="str">
        <f>Table13[[#This Row],[Governorate]]</f>
        <v>Irbid</v>
      </c>
      <c r="B313" s="82">
        <f t="shared" si="8"/>
        <v>1</v>
      </c>
      <c r="C313" s="82">
        <v>0</v>
      </c>
      <c r="D313" s="82">
        <f>Table13[[#This Row],[Women-led]]</f>
        <v>1</v>
      </c>
      <c r="E313" s="83">
        <f t="shared" si="9"/>
        <v>1</v>
      </c>
      <c r="F313" s="92">
        <f>Table13[[#This Row],[Staff Delta]]</f>
        <v>0</v>
      </c>
      <c r="G313" s="93" t="str">
        <f>Table13[[#This Row],[Economic Sector]]</f>
        <v>Education</v>
      </c>
    </row>
    <row r="314" spans="1:7">
      <c r="A314" s="20" t="str">
        <f>Table13[[#This Row],[Governorate]]</f>
        <v>Irbid</v>
      </c>
      <c r="B314" s="82">
        <f t="shared" si="8"/>
        <v>1</v>
      </c>
      <c r="C314" s="82">
        <v>0</v>
      </c>
      <c r="D314" s="82">
        <f>Table13[[#This Row],[Women-led]]</f>
        <v>1</v>
      </c>
      <c r="E314" s="83">
        <f t="shared" si="9"/>
        <v>1</v>
      </c>
      <c r="F314" s="92">
        <f>Table13[[#This Row],[Staff Delta]]</f>
        <v>0</v>
      </c>
      <c r="G314" s="93" t="str">
        <f>Table13[[#This Row],[Economic Sector]]</f>
        <v>Information and communication</v>
      </c>
    </row>
    <row r="315" spans="1:7">
      <c r="A315" s="20" t="str">
        <f>Table13[[#This Row],[Governorate]]</f>
        <v>Irbid</v>
      </c>
      <c r="B315" s="82">
        <f t="shared" si="8"/>
        <v>1</v>
      </c>
      <c r="C315" s="82">
        <v>1</v>
      </c>
      <c r="D315" s="82">
        <f>Table13[[#This Row],[Women-led]]</f>
        <v>0</v>
      </c>
      <c r="E315" s="83">
        <f t="shared" si="9"/>
        <v>0</v>
      </c>
      <c r="F315" s="92">
        <f>Table13[[#This Row],[Staff Delta]]</f>
        <v>0</v>
      </c>
      <c r="G315" s="93" t="str">
        <f>Table13[[#This Row],[Economic Sector]]</f>
        <v>Information and communication</v>
      </c>
    </row>
    <row r="316" spans="1:7">
      <c r="A316" s="20" t="str">
        <f>Table13[[#This Row],[Governorate]]</f>
        <v>Irbid</v>
      </c>
      <c r="B316" s="82">
        <f t="shared" si="8"/>
        <v>1</v>
      </c>
      <c r="C316" s="82">
        <v>0</v>
      </c>
      <c r="D316" s="82">
        <f>Table13[[#This Row],[Women-led]]</f>
        <v>1</v>
      </c>
      <c r="E316" s="83">
        <f t="shared" si="9"/>
        <v>1</v>
      </c>
      <c r="F316" s="92">
        <f>Table13[[#This Row],[Staff Delta]]</f>
        <v>0</v>
      </c>
      <c r="G316" s="93" t="str">
        <f>Table13[[#This Row],[Economic Sector]]</f>
        <v>Arts, entertainment and recreation</v>
      </c>
    </row>
    <row r="317" spans="1:7">
      <c r="A317" s="20" t="str">
        <f>Table13[[#This Row],[Governorate]]</f>
        <v>Jarash</v>
      </c>
      <c r="B317" s="82">
        <f t="shared" si="8"/>
        <v>1</v>
      </c>
      <c r="C317" s="82">
        <v>0</v>
      </c>
      <c r="D317" s="82">
        <f>Table13[[#This Row],[Women-led]]</f>
        <v>1</v>
      </c>
      <c r="E317" s="83">
        <f t="shared" si="9"/>
        <v>1</v>
      </c>
      <c r="F317" s="92">
        <f>Table13[[#This Row],[Staff Delta]]</f>
        <v>5</v>
      </c>
      <c r="G317" s="93" t="str">
        <f>Table13[[#This Row],[Economic Sector]]</f>
        <v>-</v>
      </c>
    </row>
    <row r="318" spans="1:7">
      <c r="A318" s="20" t="str">
        <f>Table13[[#This Row],[Governorate]]</f>
        <v>Jarash</v>
      </c>
      <c r="B318" s="82">
        <f t="shared" si="8"/>
        <v>1</v>
      </c>
      <c r="C318" s="82">
        <v>0</v>
      </c>
      <c r="D318" s="82">
        <f>Table13[[#This Row],[Women-led]]</f>
        <v>1</v>
      </c>
      <c r="E318" s="83">
        <f t="shared" si="9"/>
        <v>1</v>
      </c>
      <c r="F318" s="92">
        <f>Table13[[#This Row],[Staff Delta]]</f>
        <v>3</v>
      </c>
      <c r="G318" s="93" t="str">
        <f>Table13[[#This Row],[Economic Sector]]</f>
        <v>Manufacturing</v>
      </c>
    </row>
    <row r="319" spans="1:7">
      <c r="A319" s="20" t="str">
        <f>Table13[[#This Row],[Governorate]]</f>
        <v>Jarash</v>
      </c>
      <c r="B319" s="82">
        <f t="shared" si="8"/>
        <v>1</v>
      </c>
      <c r="C319" s="82">
        <v>1</v>
      </c>
      <c r="D319" s="82">
        <f>Table13[[#This Row],[Women-led]]</f>
        <v>0</v>
      </c>
      <c r="E319" s="83">
        <f t="shared" si="9"/>
        <v>0</v>
      </c>
      <c r="F319" s="92">
        <f>Table13[[#This Row],[Staff Delta]]</f>
        <v>2</v>
      </c>
      <c r="G319" s="93" t="str">
        <f>Table13[[#This Row],[Economic Sector]]</f>
        <v>Accommodation and food service activities</v>
      </c>
    </row>
    <row r="320" spans="1:7">
      <c r="A320" s="20" t="str">
        <f>Table13[[#This Row],[Governorate]]</f>
        <v>Jarash</v>
      </c>
      <c r="B320" s="82">
        <f t="shared" si="8"/>
        <v>1</v>
      </c>
      <c r="C320" s="82">
        <v>0</v>
      </c>
      <c r="D320" s="82">
        <f>Table13[[#This Row],[Women-led]]</f>
        <v>1</v>
      </c>
      <c r="E320" s="83">
        <f t="shared" si="9"/>
        <v>1</v>
      </c>
      <c r="F320" s="92">
        <f>Table13[[#This Row],[Staff Delta]]</f>
        <v>9</v>
      </c>
      <c r="G320" s="93" t="str">
        <f>Table13[[#This Row],[Economic Sector]]</f>
        <v>Manufacturing</v>
      </c>
    </row>
    <row r="321" spans="1:7">
      <c r="A321" s="20" t="str">
        <f>Table13[[#This Row],[Governorate]]</f>
        <v>Jarash</v>
      </c>
      <c r="B321" s="82">
        <f t="shared" si="8"/>
        <v>1</v>
      </c>
      <c r="C321" s="82">
        <v>0</v>
      </c>
      <c r="D321" s="82">
        <f>Table13[[#This Row],[Women-led]]</f>
        <v>1</v>
      </c>
      <c r="E321" s="83">
        <f t="shared" si="9"/>
        <v>1</v>
      </c>
      <c r="F321" s="92">
        <f>Table13[[#This Row],[Staff Delta]]</f>
        <v>1</v>
      </c>
      <c r="G321" s="93" t="str">
        <f>Table13[[#This Row],[Economic Sector]]</f>
        <v>Arts, entertainment and recreation</v>
      </c>
    </row>
    <row r="322" spans="1:7">
      <c r="A322" s="20" t="str">
        <f>Table13[[#This Row],[Governorate]]</f>
        <v>Jarash</v>
      </c>
      <c r="B322" s="82">
        <f t="shared" si="8"/>
        <v>1</v>
      </c>
      <c r="C322" s="82">
        <v>0</v>
      </c>
      <c r="D322" s="82">
        <f>Table13[[#This Row],[Women-led]]</f>
        <v>1</v>
      </c>
      <c r="E322" s="83">
        <f t="shared" si="9"/>
        <v>1</v>
      </c>
      <c r="F322" s="92">
        <f>Table13[[#This Row],[Staff Delta]]</f>
        <v>3</v>
      </c>
      <c r="G322" s="93" t="str">
        <f>Table13[[#This Row],[Economic Sector]]</f>
        <v>Manufacturing</v>
      </c>
    </row>
    <row r="323" spans="1:7">
      <c r="A323" s="20" t="str">
        <f>Table13[[#This Row],[Governorate]]</f>
        <v>Jarash</v>
      </c>
      <c r="B323" s="82">
        <f t="shared" si="8"/>
        <v>1</v>
      </c>
      <c r="C323" s="82">
        <v>1</v>
      </c>
      <c r="D323" s="82">
        <f>Table13[[#This Row],[Women-led]]</f>
        <v>0</v>
      </c>
      <c r="E323" s="83">
        <f t="shared" si="9"/>
        <v>0</v>
      </c>
      <c r="F323" s="92">
        <f>Table13[[#This Row],[Staff Delta]]</f>
        <v>2</v>
      </c>
      <c r="G323" s="93" t="str">
        <f>Table13[[#This Row],[Economic Sector]]</f>
        <v>Manufacturing</v>
      </c>
    </row>
    <row r="324" spans="1:7">
      <c r="A324" s="20" t="str">
        <f>Table13[[#This Row],[Governorate]]</f>
        <v>Jarash</v>
      </c>
      <c r="B324" s="82">
        <f t="shared" si="8"/>
        <v>1</v>
      </c>
      <c r="C324" s="82">
        <v>0</v>
      </c>
      <c r="D324" s="82">
        <f>Table13[[#This Row],[Women-led]]</f>
        <v>1</v>
      </c>
      <c r="E324" s="83">
        <f t="shared" si="9"/>
        <v>1</v>
      </c>
      <c r="F324" s="92">
        <f>Table13[[#This Row],[Staff Delta]]</f>
        <v>4</v>
      </c>
      <c r="G324" s="93" t="str">
        <f>Table13[[#This Row],[Economic Sector]]</f>
        <v>Arts, entertainment and recreation</v>
      </c>
    </row>
    <row r="325" spans="1:7">
      <c r="A325" s="20" t="str">
        <f>Table13[[#This Row],[Governorate]]</f>
        <v>Jarash</v>
      </c>
      <c r="B325" s="82">
        <f t="shared" si="8"/>
        <v>1</v>
      </c>
      <c r="C325" s="82">
        <v>0</v>
      </c>
      <c r="D325" s="82">
        <f>Table13[[#This Row],[Women-led]]</f>
        <v>1</v>
      </c>
      <c r="E325" s="83">
        <f t="shared" si="9"/>
        <v>1</v>
      </c>
      <c r="F325" s="92">
        <f>Table13[[#This Row],[Staff Delta]]</f>
        <v>0</v>
      </c>
      <c r="G325" s="93" t="str">
        <f>Table13[[#This Row],[Economic Sector]]</f>
        <v>Manufacturing</v>
      </c>
    </row>
    <row r="326" spans="1:7">
      <c r="A326" s="20" t="str">
        <f>Table13[[#This Row],[Governorate]]</f>
        <v>Jarash</v>
      </c>
      <c r="B326" s="82">
        <f t="shared" ref="B326:B389" si="10">C326+D326</f>
        <v>1</v>
      </c>
      <c r="C326" s="82">
        <v>0</v>
      </c>
      <c r="D326" s="82">
        <f>Table13[[#This Row],[Women-led]]</f>
        <v>1</v>
      </c>
      <c r="E326" s="83">
        <f t="shared" ref="E326:E389" si="11">IF(OR(B326="",D326=""),"",IFERROR(D326/B326,""))</f>
        <v>1</v>
      </c>
      <c r="F326" s="92">
        <f>Table13[[#This Row],[Staff Delta]]</f>
        <v>1</v>
      </c>
      <c r="G326" s="93" t="str">
        <f>Table13[[#This Row],[Economic Sector]]</f>
        <v>Accommodation and food service activities</v>
      </c>
    </row>
    <row r="327" spans="1:7">
      <c r="A327" s="20" t="str">
        <f>Table13[[#This Row],[Governorate]]</f>
        <v>Jarash</v>
      </c>
      <c r="B327" s="82">
        <f t="shared" si="10"/>
        <v>1</v>
      </c>
      <c r="C327" s="82">
        <v>0</v>
      </c>
      <c r="D327" s="82">
        <f>Table13[[#This Row],[Women-led]]</f>
        <v>1</v>
      </c>
      <c r="E327" s="83">
        <f t="shared" si="11"/>
        <v>1</v>
      </c>
      <c r="F327" s="92">
        <f>Table13[[#This Row],[Staff Delta]]</f>
        <v>6</v>
      </c>
      <c r="G327" s="93" t="str">
        <f>Table13[[#This Row],[Economic Sector]]</f>
        <v>Human health and social work activities</v>
      </c>
    </row>
    <row r="328" spans="1:7">
      <c r="A328" s="20" t="str">
        <f>Table13[[#This Row],[Governorate]]</f>
        <v>Jarash</v>
      </c>
      <c r="B328" s="82">
        <f t="shared" si="10"/>
        <v>1</v>
      </c>
      <c r="C328" s="82">
        <v>0</v>
      </c>
      <c r="D328" s="82">
        <f>Table13[[#This Row],[Women-led]]</f>
        <v>1</v>
      </c>
      <c r="E328" s="83">
        <f t="shared" si="11"/>
        <v>1</v>
      </c>
      <c r="F328" s="92">
        <f>Table13[[#This Row],[Staff Delta]]</f>
        <v>1</v>
      </c>
      <c r="G328" s="93" t="str">
        <f>Table13[[#This Row],[Economic Sector]]</f>
        <v>Arts, entertainment and recreation</v>
      </c>
    </row>
    <row r="329" spans="1:7">
      <c r="A329" s="20" t="str">
        <f>Table13[[#This Row],[Governorate]]</f>
        <v>Jarash</v>
      </c>
      <c r="B329" s="82">
        <f t="shared" si="10"/>
        <v>1</v>
      </c>
      <c r="C329" s="82">
        <v>0</v>
      </c>
      <c r="D329" s="82">
        <f>Table13[[#This Row],[Women-led]]</f>
        <v>1</v>
      </c>
      <c r="E329" s="83">
        <f t="shared" si="11"/>
        <v>1</v>
      </c>
      <c r="F329" s="92">
        <f>Table13[[#This Row],[Staff Delta]]</f>
        <v>3</v>
      </c>
      <c r="G329" s="93" t="str">
        <f>Table13[[#This Row],[Economic Sector]]</f>
        <v>Administrative and support service activities</v>
      </c>
    </row>
    <row r="330" spans="1:7">
      <c r="A330" s="20" t="str">
        <f>Table13[[#This Row],[Governorate]]</f>
        <v>Jarash</v>
      </c>
      <c r="B330" s="82">
        <f t="shared" si="10"/>
        <v>1</v>
      </c>
      <c r="C330" s="82">
        <v>0</v>
      </c>
      <c r="D330" s="82">
        <f>Table13[[#This Row],[Women-led]]</f>
        <v>1</v>
      </c>
      <c r="E330" s="83">
        <f t="shared" si="11"/>
        <v>1</v>
      </c>
      <c r="F330" s="92">
        <f>Table13[[#This Row],[Staff Delta]]</f>
        <v>0</v>
      </c>
      <c r="G330" s="93" t="str">
        <f>Table13[[#This Row],[Economic Sector]]</f>
        <v>Manufacturing</v>
      </c>
    </row>
    <row r="331" spans="1:7">
      <c r="A331" s="20" t="str">
        <f>Table13[[#This Row],[Governorate]]</f>
        <v>Jarash</v>
      </c>
      <c r="B331" s="82">
        <f t="shared" si="10"/>
        <v>1</v>
      </c>
      <c r="C331" s="82">
        <v>1</v>
      </c>
      <c r="D331" s="82">
        <f>Table13[[#This Row],[Women-led]]</f>
        <v>0</v>
      </c>
      <c r="E331" s="83">
        <f t="shared" si="11"/>
        <v>0</v>
      </c>
      <c r="F331" s="92">
        <f>Table13[[#This Row],[Staff Delta]]</f>
        <v>0</v>
      </c>
      <c r="G331" s="93" t="str">
        <f>Table13[[#This Row],[Economic Sector]]</f>
        <v>Agriculture, forestry and fishing</v>
      </c>
    </row>
    <row r="332" spans="1:7">
      <c r="A332" s="20" t="str">
        <f>Table13[[#This Row],[Governorate]]</f>
        <v>Jarash</v>
      </c>
      <c r="B332" s="82">
        <f t="shared" si="10"/>
        <v>1</v>
      </c>
      <c r="C332" s="82">
        <v>0</v>
      </c>
      <c r="D332" s="82">
        <f>Table13[[#This Row],[Women-led]]</f>
        <v>1</v>
      </c>
      <c r="E332" s="83">
        <f t="shared" si="11"/>
        <v>1</v>
      </c>
      <c r="F332" s="92">
        <f>Table13[[#This Row],[Staff Delta]]</f>
        <v>0</v>
      </c>
      <c r="G332" s="93" t="str">
        <f>Table13[[#This Row],[Economic Sector]]</f>
        <v>Manufacturing</v>
      </c>
    </row>
    <row r="333" spans="1:7">
      <c r="A333" s="20" t="str">
        <f>Table13[[#This Row],[Governorate]]</f>
        <v>Jarash</v>
      </c>
      <c r="B333" s="82">
        <f t="shared" si="10"/>
        <v>1</v>
      </c>
      <c r="C333" s="82">
        <v>1</v>
      </c>
      <c r="D333" s="82">
        <f>Table13[[#This Row],[Women-led]]</f>
        <v>0</v>
      </c>
      <c r="E333" s="83">
        <f t="shared" si="11"/>
        <v>0</v>
      </c>
      <c r="F333" s="92">
        <f>Table13[[#This Row],[Staff Delta]]</f>
        <v>0</v>
      </c>
      <c r="G333" s="93" t="str">
        <f>Table13[[#This Row],[Economic Sector]]</f>
        <v>Education</v>
      </c>
    </row>
    <row r="334" spans="1:7">
      <c r="A334" s="20" t="str">
        <f>Table13[[#This Row],[Governorate]]</f>
        <v>Jarash</v>
      </c>
      <c r="B334" s="82">
        <f t="shared" si="10"/>
        <v>1</v>
      </c>
      <c r="C334" s="82">
        <v>0</v>
      </c>
      <c r="D334" s="82">
        <f>Table13[[#This Row],[Women-led]]</f>
        <v>1</v>
      </c>
      <c r="E334" s="83">
        <f t="shared" si="11"/>
        <v>1</v>
      </c>
      <c r="F334" s="92">
        <f>Table13[[#This Row],[Staff Delta]]</f>
        <v>0</v>
      </c>
      <c r="G334" s="93" t="str">
        <f>Table13[[#This Row],[Economic Sector]]</f>
        <v>Manufacturing</v>
      </c>
    </row>
    <row r="335" spans="1:7">
      <c r="A335" s="20" t="str">
        <f>Table13[[#This Row],[Governorate]]</f>
        <v>Jarash</v>
      </c>
      <c r="B335" s="82">
        <f t="shared" si="10"/>
        <v>1</v>
      </c>
      <c r="C335" s="82">
        <v>0</v>
      </c>
      <c r="D335" s="82">
        <f>Table13[[#This Row],[Women-led]]</f>
        <v>1</v>
      </c>
      <c r="E335" s="83">
        <f t="shared" si="11"/>
        <v>1</v>
      </c>
      <c r="F335" s="92">
        <f>Table13[[#This Row],[Staff Delta]]</f>
        <v>1</v>
      </c>
      <c r="G335" s="93" t="str">
        <f>Table13[[#This Row],[Economic Sector]]</f>
        <v>Manufacturing</v>
      </c>
    </row>
    <row r="336" spans="1:7">
      <c r="A336" s="20" t="str">
        <f>Table13[[#This Row],[Governorate]]</f>
        <v>Jarash</v>
      </c>
      <c r="B336" s="82">
        <f t="shared" si="10"/>
        <v>1</v>
      </c>
      <c r="C336" s="82">
        <v>1</v>
      </c>
      <c r="D336" s="82">
        <f>Table13[[#This Row],[Women-led]]</f>
        <v>0</v>
      </c>
      <c r="E336" s="83">
        <f t="shared" si="11"/>
        <v>0</v>
      </c>
      <c r="F336" s="92">
        <f>Table13[[#This Row],[Staff Delta]]</f>
        <v>0</v>
      </c>
      <c r="G336" s="93" t="str">
        <f>Table13[[#This Row],[Economic Sector]]</f>
        <v>Education</v>
      </c>
    </row>
    <row r="337" spans="1:7">
      <c r="A337" s="20" t="str">
        <f>Table13[[#This Row],[Governorate]]</f>
        <v>Jarash</v>
      </c>
      <c r="B337" s="82">
        <f t="shared" si="10"/>
        <v>1</v>
      </c>
      <c r="C337" s="82">
        <v>0</v>
      </c>
      <c r="D337" s="82">
        <f>Table13[[#This Row],[Women-led]]</f>
        <v>1</v>
      </c>
      <c r="E337" s="83">
        <f t="shared" si="11"/>
        <v>1</v>
      </c>
      <c r="F337" s="92">
        <f>Table13[[#This Row],[Staff Delta]]</f>
        <v>0</v>
      </c>
      <c r="G337" s="93" t="str">
        <f>Table13[[#This Row],[Economic Sector]]</f>
        <v>Manufacturing</v>
      </c>
    </row>
    <row r="338" spans="1:7">
      <c r="A338" s="20" t="str">
        <f>Table13[[#This Row],[Governorate]]</f>
        <v>Jarash</v>
      </c>
      <c r="B338" s="82">
        <f t="shared" si="10"/>
        <v>1</v>
      </c>
      <c r="C338" s="82">
        <v>0</v>
      </c>
      <c r="D338" s="82">
        <f>Table13[[#This Row],[Women-led]]</f>
        <v>1</v>
      </c>
      <c r="E338" s="83">
        <f t="shared" si="11"/>
        <v>1</v>
      </c>
      <c r="F338" s="92">
        <f>Table13[[#This Row],[Staff Delta]]</f>
        <v>0</v>
      </c>
      <c r="G338" s="93" t="str">
        <f>Table13[[#This Row],[Economic Sector]]</f>
        <v>Manufacturing</v>
      </c>
    </row>
    <row r="339" spans="1:7">
      <c r="A339" s="20" t="str">
        <f>Table13[[#This Row],[Governorate]]</f>
        <v>Jarash</v>
      </c>
      <c r="B339" s="82">
        <f t="shared" si="10"/>
        <v>1</v>
      </c>
      <c r="C339" s="82">
        <v>0</v>
      </c>
      <c r="D339" s="82">
        <f>Table13[[#This Row],[Women-led]]</f>
        <v>1</v>
      </c>
      <c r="E339" s="83">
        <f t="shared" si="11"/>
        <v>1</v>
      </c>
      <c r="F339" s="92">
        <f>Table13[[#This Row],[Staff Delta]]</f>
        <v>0</v>
      </c>
      <c r="G339" s="93" t="str">
        <f>Table13[[#This Row],[Economic Sector]]</f>
        <v>Human health and social work activities</v>
      </c>
    </row>
    <row r="340" spans="1:7">
      <c r="A340" s="20" t="str">
        <f>Table13[[#This Row],[Governorate]]</f>
        <v>Jarash</v>
      </c>
      <c r="B340" s="82">
        <f t="shared" si="10"/>
        <v>1</v>
      </c>
      <c r="C340" s="82">
        <v>0</v>
      </c>
      <c r="D340" s="82">
        <f>Table13[[#This Row],[Women-led]]</f>
        <v>1</v>
      </c>
      <c r="E340" s="83">
        <f t="shared" si="11"/>
        <v>1</v>
      </c>
      <c r="F340" s="92">
        <f>Table13[[#This Row],[Staff Delta]]</f>
        <v>1</v>
      </c>
      <c r="G340" s="93" t="str">
        <f>Table13[[#This Row],[Economic Sector]]</f>
        <v>Manufacturing</v>
      </c>
    </row>
    <row r="341" spans="1:7">
      <c r="A341" s="20" t="str">
        <f>Table13[[#This Row],[Governorate]]</f>
        <v>Jarash</v>
      </c>
      <c r="B341" s="82">
        <f t="shared" si="10"/>
        <v>1</v>
      </c>
      <c r="C341" s="82">
        <v>1</v>
      </c>
      <c r="D341" s="82">
        <f>Table13[[#This Row],[Women-led]]</f>
        <v>0</v>
      </c>
      <c r="E341" s="83">
        <f t="shared" si="11"/>
        <v>0</v>
      </c>
      <c r="F341" s="92">
        <f>Table13[[#This Row],[Staff Delta]]</f>
        <v>0</v>
      </c>
      <c r="G341" s="93" t="str">
        <f>Table13[[#This Row],[Economic Sector]]</f>
        <v>Manufacturing</v>
      </c>
    </row>
    <row r="342" spans="1:7">
      <c r="A342" s="20" t="str">
        <f>Table13[[#This Row],[Governorate]]</f>
        <v>Jarash</v>
      </c>
      <c r="B342" s="82">
        <f t="shared" si="10"/>
        <v>1</v>
      </c>
      <c r="C342" s="82">
        <v>1</v>
      </c>
      <c r="D342" s="82">
        <f>Table13[[#This Row],[Women-led]]</f>
        <v>0</v>
      </c>
      <c r="E342" s="83">
        <f t="shared" si="11"/>
        <v>0</v>
      </c>
      <c r="F342" s="92">
        <f>Table13[[#This Row],[Staff Delta]]</f>
        <v>6</v>
      </c>
      <c r="G342" s="93" t="str">
        <f>Table13[[#This Row],[Economic Sector]]</f>
        <v>Agriculture, forestry and fishing</v>
      </c>
    </row>
    <row r="343" spans="1:7">
      <c r="A343" s="20" t="str">
        <f>Table13[[#This Row],[Governorate]]</f>
        <v>Jarash</v>
      </c>
      <c r="B343" s="82">
        <f t="shared" si="10"/>
        <v>1</v>
      </c>
      <c r="C343" s="82">
        <v>0</v>
      </c>
      <c r="D343" s="82">
        <f>Table13[[#This Row],[Women-led]]</f>
        <v>1</v>
      </c>
      <c r="E343" s="83">
        <f t="shared" si="11"/>
        <v>1</v>
      </c>
      <c r="F343" s="92">
        <f>Table13[[#This Row],[Staff Delta]]</f>
        <v>3</v>
      </c>
      <c r="G343" s="93" t="str">
        <f>Table13[[#This Row],[Economic Sector]]</f>
        <v>Agriculture, forestry and fishing</v>
      </c>
    </row>
    <row r="344" spans="1:7">
      <c r="A344" s="20" t="str">
        <f>Table13[[#This Row],[Governorate]]</f>
        <v>Jarash</v>
      </c>
      <c r="B344" s="82">
        <f t="shared" si="10"/>
        <v>1</v>
      </c>
      <c r="C344" s="82">
        <v>0</v>
      </c>
      <c r="D344" s="82">
        <f>Table13[[#This Row],[Women-led]]</f>
        <v>1</v>
      </c>
      <c r="E344" s="83">
        <f t="shared" si="11"/>
        <v>1</v>
      </c>
      <c r="F344" s="92">
        <f>Table13[[#This Row],[Staff Delta]]</f>
        <v>0</v>
      </c>
      <c r="G344" s="93" t="str">
        <f>Table13[[#This Row],[Economic Sector]]</f>
        <v>Manufacturing</v>
      </c>
    </row>
    <row r="345" spans="1:7">
      <c r="A345" s="20" t="str">
        <f>Table13[[#This Row],[Governorate]]</f>
        <v>Jarash</v>
      </c>
      <c r="B345" s="82">
        <f t="shared" si="10"/>
        <v>1</v>
      </c>
      <c r="C345" s="82">
        <v>1</v>
      </c>
      <c r="D345" s="82">
        <f>Table13[[#This Row],[Women-led]]</f>
        <v>0</v>
      </c>
      <c r="E345" s="83">
        <f t="shared" si="11"/>
        <v>0</v>
      </c>
      <c r="F345" s="92">
        <f>Table13[[#This Row],[Staff Delta]]</f>
        <v>1</v>
      </c>
      <c r="G345" s="93" t="str">
        <f>Table13[[#This Row],[Economic Sector]]</f>
        <v>Professional, scientific and technical activities</v>
      </c>
    </row>
    <row r="346" spans="1:7">
      <c r="A346" s="20" t="str">
        <f>Table13[[#This Row],[Governorate]]</f>
        <v>Jarash</v>
      </c>
      <c r="B346" s="82">
        <f t="shared" si="10"/>
        <v>1</v>
      </c>
      <c r="C346" s="82">
        <v>0</v>
      </c>
      <c r="D346" s="82">
        <f>Table13[[#This Row],[Women-led]]</f>
        <v>1</v>
      </c>
      <c r="E346" s="83">
        <f t="shared" si="11"/>
        <v>1</v>
      </c>
      <c r="F346" s="92">
        <f>Table13[[#This Row],[Staff Delta]]</f>
        <v>0</v>
      </c>
      <c r="G346" s="93" t="str">
        <f>Table13[[#This Row],[Economic Sector]]</f>
        <v>Manufacturing</v>
      </c>
    </row>
    <row r="347" spans="1:7">
      <c r="A347" s="20" t="str">
        <f>Table13[[#This Row],[Governorate]]</f>
        <v>Jarash</v>
      </c>
      <c r="B347" s="82">
        <f t="shared" si="10"/>
        <v>1</v>
      </c>
      <c r="C347" s="82">
        <v>0</v>
      </c>
      <c r="D347" s="82">
        <f>Table13[[#This Row],[Women-led]]</f>
        <v>1</v>
      </c>
      <c r="E347" s="83">
        <f t="shared" si="11"/>
        <v>1</v>
      </c>
      <c r="F347" s="92">
        <f>Table13[[#This Row],[Staff Delta]]</f>
        <v>0</v>
      </c>
      <c r="G347" s="93" t="str">
        <f>Table13[[#This Row],[Economic Sector]]</f>
        <v>Arts, entertainment and recreation</v>
      </c>
    </row>
    <row r="348" spans="1:7">
      <c r="A348" s="20" t="str">
        <f>Table13[[#This Row],[Governorate]]</f>
        <v>Jarash</v>
      </c>
      <c r="B348" s="82">
        <f t="shared" si="10"/>
        <v>1</v>
      </c>
      <c r="C348" s="82">
        <v>0</v>
      </c>
      <c r="D348" s="82">
        <f>Table13[[#This Row],[Women-led]]</f>
        <v>1</v>
      </c>
      <c r="E348" s="83">
        <f t="shared" si="11"/>
        <v>1</v>
      </c>
      <c r="F348" s="92">
        <f>Table13[[#This Row],[Staff Delta]]</f>
        <v>0</v>
      </c>
      <c r="G348" s="93" t="str">
        <f>Table13[[#This Row],[Economic Sector]]</f>
        <v>Agriculture, forestry and fishing</v>
      </c>
    </row>
    <row r="349" spans="1:7">
      <c r="A349" s="20" t="str">
        <f>Table13[[#This Row],[Governorate]]</f>
        <v>Jarash</v>
      </c>
      <c r="B349" s="82">
        <f t="shared" si="10"/>
        <v>1</v>
      </c>
      <c r="C349" s="82">
        <v>0</v>
      </c>
      <c r="D349" s="82">
        <f>Table13[[#This Row],[Women-led]]</f>
        <v>1</v>
      </c>
      <c r="E349" s="83">
        <f t="shared" si="11"/>
        <v>1</v>
      </c>
      <c r="F349" s="92">
        <f>Table13[[#This Row],[Staff Delta]]</f>
        <v>1</v>
      </c>
      <c r="G349" s="93" t="str">
        <f>Table13[[#This Row],[Economic Sector]]</f>
        <v>Agriculture, forestry and fishing</v>
      </c>
    </row>
    <row r="350" spans="1:7">
      <c r="A350" s="20" t="str">
        <f>Table13[[#This Row],[Governorate]]</f>
        <v>Jarash</v>
      </c>
      <c r="B350" s="82">
        <f t="shared" si="10"/>
        <v>1</v>
      </c>
      <c r="C350" s="82">
        <v>0</v>
      </c>
      <c r="D350" s="82">
        <f>Table13[[#This Row],[Women-led]]</f>
        <v>1</v>
      </c>
      <c r="E350" s="83">
        <f t="shared" si="11"/>
        <v>1</v>
      </c>
      <c r="F350" s="92">
        <f>Table13[[#This Row],[Staff Delta]]</f>
        <v>0</v>
      </c>
      <c r="G350" s="93" t="str">
        <f>Table13[[#This Row],[Economic Sector]]</f>
        <v>Accommodation and food service activities</v>
      </c>
    </row>
    <row r="351" spans="1:7">
      <c r="A351" s="20" t="str">
        <f>Table13[[#This Row],[Governorate]]</f>
        <v>Jarash</v>
      </c>
      <c r="B351" s="82">
        <f t="shared" si="10"/>
        <v>1</v>
      </c>
      <c r="C351" s="82">
        <v>1</v>
      </c>
      <c r="D351" s="82">
        <f>Table13[[#This Row],[Women-led]]</f>
        <v>0</v>
      </c>
      <c r="E351" s="83">
        <f t="shared" si="11"/>
        <v>0</v>
      </c>
      <c r="F351" s="92">
        <f>Table13[[#This Row],[Staff Delta]]</f>
        <v>0</v>
      </c>
      <c r="G351" s="93" t="str">
        <f>Table13[[#This Row],[Economic Sector]]</f>
        <v>Agriculture, forestry and fishing</v>
      </c>
    </row>
    <row r="352" spans="1:7">
      <c r="A352" s="20" t="str">
        <f>Table13[[#This Row],[Governorate]]</f>
        <v>Jarash</v>
      </c>
      <c r="B352" s="82">
        <f t="shared" si="10"/>
        <v>1</v>
      </c>
      <c r="C352" s="82">
        <v>0</v>
      </c>
      <c r="D352" s="82">
        <f>Table13[[#This Row],[Women-led]]</f>
        <v>1</v>
      </c>
      <c r="E352" s="83">
        <f t="shared" si="11"/>
        <v>1</v>
      </c>
      <c r="F352" s="92">
        <f>Table13[[#This Row],[Staff Delta]]</f>
        <v>0</v>
      </c>
      <c r="G352" s="93" t="str">
        <f>Table13[[#This Row],[Economic Sector]]</f>
        <v>Manufacturing</v>
      </c>
    </row>
    <row r="353" spans="1:7">
      <c r="A353" s="20" t="str">
        <f>Table13[[#This Row],[Governorate]]</f>
        <v>Jarash</v>
      </c>
      <c r="B353" s="82">
        <f t="shared" si="10"/>
        <v>1</v>
      </c>
      <c r="C353" s="82">
        <v>0</v>
      </c>
      <c r="D353" s="82">
        <f>Table13[[#This Row],[Women-led]]</f>
        <v>1</v>
      </c>
      <c r="E353" s="83">
        <f t="shared" si="11"/>
        <v>1</v>
      </c>
      <c r="F353" s="92">
        <f>Table13[[#This Row],[Staff Delta]]</f>
        <v>0</v>
      </c>
      <c r="G353" s="93" t="str">
        <f>Table13[[#This Row],[Economic Sector]]</f>
        <v>Education</v>
      </c>
    </row>
    <row r="354" spans="1:7">
      <c r="A354" s="20" t="str">
        <f>Table13[[#This Row],[Governorate]]</f>
        <v>Jarash</v>
      </c>
      <c r="B354" s="82">
        <f t="shared" si="10"/>
        <v>1</v>
      </c>
      <c r="C354" s="82">
        <v>0</v>
      </c>
      <c r="D354" s="82">
        <f>Table13[[#This Row],[Women-led]]</f>
        <v>1</v>
      </c>
      <c r="E354" s="83">
        <f t="shared" si="11"/>
        <v>1</v>
      </c>
      <c r="F354" s="92">
        <f>Table13[[#This Row],[Staff Delta]]</f>
        <v>0</v>
      </c>
      <c r="G354" s="93" t="str">
        <f>Table13[[#This Row],[Economic Sector]]</f>
        <v>Manufacturing</v>
      </c>
    </row>
    <row r="355" spans="1:7">
      <c r="A355" s="20" t="str">
        <f>Table13[[#This Row],[Governorate]]</f>
        <v>Jarash</v>
      </c>
      <c r="B355" s="82">
        <f t="shared" si="10"/>
        <v>1</v>
      </c>
      <c r="C355" s="82">
        <v>0</v>
      </c>
      <c r="D355" s="82">
        <f>Table13[[#This Row],[Women-led]]</f>
        <v>1</v>
      </c>
      <c r="E355" s="83">
        <f t="shared" si="11"/>
        <v>1</v>
      </c>
      <c r="F355" s="92">
        <f>Table13[[#This Row],[Staff Delta]]</f>
        <v>0</v>
      </c>
      <c r="G355" s="93" t="str">
        <f>Table13[[#This Row],[Economic Sector]]</f>
        <v>Human health and social work activities</v>
      </c>
    </row>
    <row r="356" spans="1:7">
      <c r="A356" s="20" t="str">
        <f>Table13[[#This Row],[Governorate]]</f>
        <v>Jarash</v>
      </c>
      <c r="B356" s="82">
        <f t="shared" si="10"/>
        <v>1</v>
      </c>
      <c r="C356" s="82">
        <v>0</v>
      </c>
      <c r="D356" s="82">
        <f>Table13[[#This Row],[Women-led]]</f>
        <v>1</v>
      </c>
      <c r="E356" s="83">
        <f t="shared" si="11"/>
        <v>1</v>
      </c>
      <c r="F356" s="92">
        <f>Table13[[#This Row],[Staff Delta]]</f>
        <v>0</v>
      </c>
      <c r="G356" s="93" t="str">
        <f>Table13[[#This Row],[Economic Sector]]</f>
        <v>Manufacturing</v>
      </c>
    </row>
    <row r="357" spans="1:7">
      <c r="A357" s="20" t="str">
        <f>Table13[[#This Row],[Governorate]]</f>
        <v>Jarash</v>
      </c>
      <c r="B357" s="82">
        <f t="shared" si="10"/>
        <v>1</v>
      </c>
      <c r="C357" s="82">
        <v>0</v>
      </c>
      <c r="D357" s="82">
        <f>Table13[[#This Row],[Women-led]]</f>
        <v>1</v>
      </c>
      <c r="E357" s="83">
        <f t="shared" si="11"/>
        <v>1</v>
      </c>
      <c r="F357" s="92">
        <f>Table13[[#This Row],[Staff Delta]]</f>
        <v>0</v>
      </c>
      <c r="G357" s="93" t="str">
        <f>Table13[[#This Row],[Economic Sector]]</f>
        <v>Arts, entertainment and recreation</v>
      </c>
    </row>
    <row r="358" spans="1:7">
      <c r="A358" s="20" t="str">
        <f>Table13[[#This Row],[Governorate]]</f>
        <v>Jarash</v>
      </c>
      <c r="B358" s="82">
        <f t="shared" si="10"/>
        <v>1</v>
      </c>
      <c r="C358" s="82">
        <v>1</v>
      </c>
      <c r="D358" s="82">
        <f>Table13[[#This Row],[Women-led]]</f>
        <v>0</v>
      </c>
      <c r="E358" s="83">
        <f t="shared" si="11"/>
        <v>0</v>
      </c>
      <c r="F358" s="92">
        <f>Table13[[#This Row],[Staff Delta]]</f>
        <v>0</v>
      </c>
      <c r="G358" s="93" t="str">
        <f>Table13[[#This Row],[Economic Sector]]</f>
        <v>Manufacturing</v>
      </c>
    </row>
    <row r="359" spans="1:7">
      <c r="A359" s="20" t="str">
        <f>Table13[[#This Row],[Governorate]]</f>
        <v>Jarash</v>
      </c>
      <c r="B359" s="82">
        <f t="shared" si="10"/>
        <v>1</v>
      </c>
      <c r="C359" s="82">
        <v>0</v>
      </c>
      <c r="D359" s="82">
        <f>Table13[[#This Row],[Women-led]]</f>
        <v>1</v>
      </c>
      <c r="E359" s="83">
        <f t="shared" si="11"/>
        <v>1</v>
      </c>
      <c r="F359" s="92">
        <f>Table13[[#This Row],[Staff Delta]]</f>
        <v>1</v>
      </c>
      <c r="G359" s="93" t="str">
        <f>Table13[[#This Row],[Economic Sector]]</f>
        <v>Human health and social work activities</v>
      </c>
    </row>
    <row r="360" spans="1:7">
      <c r="A360" s="20" t="str">
        <f>Table13[[#This Row],[Governorate]]</f>
        <v>Jarash</v>
      </c>
      <c r="B360" s="82">
        <f t="shared" si="10"/>
        <v>1</v>
      </c>
      <c r="C360" s="82">
        <v>0</v>
      </c>
      <c r="D360" s="82">
        <f>Table13[[#This Row],[Women-led]]</f>
        <v>1</v>
      </c>
      <c r="E360" s="83">
        <f t="shared" si="11"/>
        <v>1</v>
      </c>
      <c r="F360" s="92">
        <f>Table13[[#This Row],[Staff Delta]]</f>
        <v>0</v>
      </c>
      <c r="G360" s="93" t="str">
        <f>Table13[[#This Row],[Economic Sector]]</f>
        <v>Manufacturing</v>
      </c>
    </row>
    <row r="361" spans="1:7">
      <c r="A361" s="20" t="str">
        <f>Table13[[#This Row],[Governorate]]</f>
        <v>Jarash</v>
      </c>
      <c r="B361" s="82">
        <f t="shared" si="10"/>
        <v>1</v>
      </c>
      <c r="C361" s="82">
        <v>0</v>
      </c>
      <c r="D361" s="82">
        <f>Table13[[#This Row],[Women-led]]</f>
        <v>1</v>
      </c>
      <c r="E361" s="83">
        <f t="shared" si="11"/>
        <v>1</v>
      </c>
      <c r="F361" s="92">
        <f>Table13[[#This Row],[Staff Delta]]</f>
        <v>0</v>
      </c>
      <c r="G361" s="93" t="str">
        <f>Table13[[#This Row],[Economic Sector]]</f>
        <v>Agriculture, forestry and fishing</v>
      </c>
    </row>
    <row r="362" spans="1:7">
      <c r="A362" s="20" t="str">
        <f>Table13[[#This Row],[Governorate]]</f>
        <v>Jarash</v>
      </c>
      <c r="B362" s="82">
        <f t="shared" si="10"/>
        <v>1</v>
      </c>
      <c r="C362" s="82">
        <v>1</v>
      </c>
      <c r="D362" s="82">
        <f>Table13[[#This Row],[Women-led]]</f>
        <v>0</v>
      </c>
      <c r="E362" s="83">
        <f t="shared" si="11"/>
        <v>0</v>
      </c>
      <c r="F362" s="92">
        <f>Table13[[#This Row],[Staff Delta]]</f>
        <v>1</v>
      </c>
      <c r="G362" s="93" t="str">
        <f>Table13[[#This Row],[Economic Sector]]</f>
        <v>Arts, entertainment and recreation</v>
      </c>
    </row>
    <row r="363" spans="1:7">
      <c r="A363" s="20" t="str">
        <f>Table13[[#This Row],[Governorate]]</f>
        <v>Jarash</v>
      </c>
      <c r="B363" s="82">
        <f t="shared" si="10"/>
        <v>1</v>
      </c>
      <c r="C363" s="82">
        <v>1</v>
      </c>
      <c r="D363" s="82">
        <f>Table13[[#This Row],[Women-led]]</f>
        <v>0</v>
      </c>
      <c r="E363" s="83">
        <f t="shared" si="11"/>
        <v>0</v>
      </c>
      <c r="F363" s="92">
        <f>Table13[[#This Row],[Staff Delta]]</f>
        <v>0</v>
      </c>
      <c r="G363" s="93">
        <f>Table13[[#This Row],[Economic Sector]]</f>
        <v>0</v>
      </c>
    </row>
    <row r="364" spans="1:7">
      <c r="A364" s="20" t="str">
        <f>Table13[[#This Row],[Governorate]]</f>
        <v>Jarash</v>
      </c>
      <c r="B364" s="82">
        <f t="shared" si="10"/>
        <v>1</v>
      </c>
      <c r="C364" s="82">
        <v>0</v>
      </c>
      <c r="D364" s="82">
        <f>Table13[[#This Row],[Women-led]]</f>
        <v>1</v>
      </c>
      <c r="E364" s="83">
        <f t="shared" si="11"/>
        <v>1</v>
      </c>
      <c r="F364" s="92">
        <f>Table13[[#This Row],[Staff Delta]]</f>
        <v>0</v>
      </c>
      <c r="G364" s="93" t="str">
        <f>Table13[[#This Row],[Economic Sector]]</f>
        <v>Administrative and support service activities</v>
      </c>
    </row>
    <row r="365" spans="1:7">
      <c r="A365" s="20" t="str">
        <f>Table13[[#This Row],[Governorate]]</f>
        <v>Jarash</v>
      </c>
      <c r="B365" s="82">
        <f t="shared" si="10"/>
        <v>1</v>
      </c>
      <c r="C365" s="82">
        <v>0</v>
      </c>
      <c r="D365" s="82">
        <f>Table13[[#This Row],[Women-led]]</f>
        <v>1</v>
      </c>
      <c r="E365" s="83">
        <f t="shared" si="11"/>
        <v>1</v>
      </c>
      <c r="F365" s="92">
        <f>Table13[[#This Row],[Staff Delta]]</f>
        <v>0</v>
      </c>
      <c r="G365" s="93" t="str">
        <f>Table13[[#This Row],[Economic Sector]]</f>
        <v>Agriculture, forestry and fishing</v>
      </c>
    </row>
    <row r="366" spans="1:7">
      <c r="A366" s="20" t="str">
        <f>Table13[[#This Row],[Governorate]]</f>
        <v>Jarash</v>
      </c>
      <c r="B366" s="82">
        <f t="shared" si="10"/>
        <v>1</v>
      </c>
      <c r="C366" s="82">
        <v>0</v>
      </c>
      <c r="D366" s="82">
        <f>Table13[[#This Row],[Women-led]]</f>
        <v>1</v>
      </c>
      <c r="E366" s="83">
        <f t="shared" si="11"/>
        <v>1</v>
      </c>
      <c r="F366" s="92">
        <f>Table13[[#This Row],[Staff Delta]]</f>
        <v>1</v>
      </c>
      <c r="G366" s="93" t="str">
        <f>Table13[[#This Row],[Economic Sector]]</f>
        <v>Manufacturing</v>
      </c>
    </row>
    <row r="367" spans="1:7">
      <c r="A367" s="20" t="str">
        <f>Table13[[#This Row],[Governorate]]</f>
        <v>Jarash</v>
      </c>
      <c r="B367" s="82">
        <f t="shared" si="10"/>
        <v>1</v>
      </c>
      <c r="C367" s="82">
        <v>0</v>
      </c>
      <c r="D367" s="82">
        <f>Table13[[#This Row],[Women-led]]</f>
        <v>1</v>
      </c>
      <c r="E367" s="83">
        <f t="shared" si="11"/>
        <v>1</v>
      </c>
      <c r="F367" s="92">
        <f>Table13[[#This Row],[Staff Delta]]</f>
        <v>0</v>
      </c>
      <c r="G367" s="93" t="str">
        <f>Table13[[#This Row],[Economic Sector]]</f>
        <v>Arts, entertainment and recreation</v>
      </c>
    </row>
    <row r="368" spans="1:7">
      <c r="A368" s="20" t="str">
        <f>Table13[[#This Row],[Governorate]]</f>
        <v>Jarash</v>
      </c>
      <c r="B368" s="82">
        <f t="shared" si="10"/>
        <v>1</v>
      </c>
      <c r="C368" s="82">
        <v>0</v>
      </c>
      <c r="D368" s="82">
        <f>Table13[[#This Row],[Women-led]]</f>
        <v>1</v>
      </c>
      <c r="E368" s="83">
        <f t="shared" si="11"/>
        <v>1</v>
      </c>
      <c r="F368" s="92">
        <f>Table13[[#This Row],[Staff Delta]]</f>
        <v>0</v>
      </c>
      <c r="G368" s="93" t="str">
        <f>Table13[[#This Row],[Economic Sector]]</f>
        <v>Administrative and support service activities</v>
      </c>
    </row>
    <row r="369" spans="1:7">
      <c r="A369" s="20" t="str">
        <f>Table13[[#This Row],[Governorate]]</f>
        <v>Jarash</v>
      </c>
      <c r="B369" s="82">
        <f t="shared" si="10"/>
        <v>1</v>
      </c>
      <c r="C369" s="82">
        <v>0</v>
      </c>
      <c r="D369" s="82">
        <f>Table13[[#This Row],[Women-led]]</f>
        <v>1</v>
      </c>
      <c r="E369" s="83">
        <f t="shared" si="11"/>
        <v>1</v>
      </c>
      <c r="F369" s="92">
        <f>Table13[[#This Row],[Staff Delta]]</f>
        <v>0</v>
      </c>
      <c r="G369" s="93" t="str">
        <f>Table13[[#This Row],[Economic Sector]]</f>
        <v>Manufacturing</v>
      </c>
    </row>
    <row r="370" spans="1:7">
      <c r="A370" s="20" t="str">
        <f>Table13[[#This Row],[Governorate]]</f>
        <v>Jarash</v>
      </c>
      <c r="B370" s="82">
        <f t="shared" si="10"/>
        <v>1</v>
      </c>
      <c r="C370" s="82">
        <v>0</v>
      </c>
      <c r="D370" s="82">
        <f>Table13[[#This Row],[Women-led]]</f>
        <v>1</v>
      </c>
      <c r="E370" s="83">
        <f t="shared" si="11"/>
        <v>1</v>
      </c>
      <c r="F370" s="92">
        <f>Table13[[#This Row],[Staff Delta]]</f>
        <v>0</v>
      </c>
      <c r="G370" s="93" t="str">
        <f>Table13[[#This Row],[Economic Sector]]</f>
        <v>Agriculture, forestry and fishing</v>
      </c>
    </row>
    <row r="371" spans="1:7">
      <c r="A371" s="20" t="str">
        <f>Table13[[#This Row],[Governorate]]</f>
        <v>Jarash</v>
      </c>
      <c r="B371" s="82">
        <f t="shared" si="10"/>
        <v>1</v>
      </c>
      <c r="C371" s="82">
        <v>0</v>
      </c>
      <c r="D371" s="82">
        <f>Table13[[#This Row],[Women-led]]</f>
        <v>1</v>
      </c>
      <c r="E371" s="83">
        <f t="shared" si="11"/>
        <v>1</v>
      </c>
      <c r="F371" s="92">
        <f>Table13[[#This Row],[Staff Delta]]</f>
        <v>0</v>
      </c>
      <c r="G371" s="93" t="str">
        <f>Table13[[#This Row],[Economic Sector]]</f>
        <v>Arts, entertainment and recreation</v>
      </c>
    </row>
    <row r="372" spans="1:7">
      <c r="A372" s="20" t="str">
        <f>Table13[[#This Row],[Governorate]]</f>
        <v>Jarash</v>
      </c>
      <c r="B372" s="82">
        <f t="shared" si="10"/>
        <v>1</v>
      </c>
      <c r="C372" s="82">
        <v>1</v>
      </c>
      <c r="D372" s="82">
        <f>Table13[[#This Row],[Women-led]]</f>
        <v>0</v>
      </c>
      <c r="E372" s="83">
        <f t="shared" si="11"/>
        <v>0</v>
      </c>
      <c r="F372" s="92">
        <f>Table13[[#This Row],[Staff Delta]]</f>
        <v>1</v>
      </c>
      <c r="G372" s="93">
        <f>Table13[[#This Row],[Economic Sector]]</f>
        <v>0</v>
      </c>
    </row>
    <row r="373" spans="1:7">
      <c r="A373" s="20" t="str">
        <f>Table13[[#This Row],[Governorate]]</f>
        <v>Jarash</v>
      </c>
      <c r="B373" s="82">
        <f t="shared" si="10"/>
        <v>1</v>
      </c>
      <c r="C373" s="82">
        <v>1</v>
      </c>
      <c r="D373" s="82">
        <f>Table13[[#This Row],[Women-led]]</f>
        <v>0</v>
      </c>
      <c r="E373" s="83">
        <f t="shared" si="11"/>
        <v>0</v>
      </c>
      <c r="F373" s="92">
        <f>Table13[[#This Row],[Staff Delta]]</f>
        <v>0</v>
      </c>
      <c r="G373" s="93" t="str">
        <f>Table13[[#This Row],[Economic Sector]]</f>
        <v>Administrative and support service activities</v>
      </c>
    </row>
    <row r="374" spans="1:7">
      <c r="A374" s="20" t="str">
        <f>Table13[[#This Row],[Governorate]]</f>
        <v>Jarash</v>
      </c>
      <c r="B374" s="82">
        <f t="shared" si="10"/>
        <v>1</v>
      </c>
      <c r="C374" s="82">
        <v>0</v>
      </c>
      <c r="D374" s="82">
        <f>Table13[[#This Row],[Women-led]]</f>
        <v>1</v>
      </c>
      <c r="E374" s="83">
        <f t="shared" si="11"/>
        <v>1</v>
      </c>
      <c r="F374" s="92">
        <f>Table13[[#This Row],[Staff Delta]]</f>
        <v>0</v>
      </c>
      <c r="G374" s="93" t="str">
        <f>Table13[[#This Row],[Economic Sector]]</f>
        <v>Professional, scientific and technical activities</v>
      </c>
    </row>
    <row r="375" spans="1:7">
      <c r="A375" s="20" t="str">
        <f>Table13[[#This Row],[Governorate]]</f>
        <v>Jarash</v>
      </c>
      <c r="B375" s="82">
        <f t="shared" si="10"/>
        <v>1</v>
      </c>
      <c r="C375" s="82">
        <v>0</v>
      </c>
      <c r="D375" s="82">
        <f>Table13[[#This Row],[Women-led]]</f>
        <v>1</v>
      </c>
      <c r="E375" s="83">
        <f t="shared" si="11"/>
        <v>1</v>
      </c>
      <c r="F375" s="92">
        <f>Table13[[#This Row],[Staff Delta]]</f>
        <v>0</v>
      </c>
      <c r="G375" s="93" t="str">
        <f>Table13[[#This Row],[Economic Sector]]</f>
        <v>Agriculture, forestry and fishing</v>
      </c>
    </row>
    <row r="376" spans="1:7">
      <c r="A376" s="20" t="str">
        <f>Table13[[#This Row],[Governorate]]</f>
        <v>Jarash</v>
      </c>
      <c r="B376" s="82">
        <f t="shared" si="10"/>
        <v>1</v>
      </c>
      <c r="C376" s="82">
        <v>0</v>
      </c>
      <c r="D376" s="82">
        <f>Table13[[#This Row],[Women-led]]</f>
        <v>1</v>
      </c>
      <c r="E376" s="83">
        <f t="shared" si="11"/>
        <v>1</v>
      </c>
      <c r="F376" s="92">
        <f>Table13[[#This Row],[Staff Delta]]</f>
        <v>0</v>
      </c>
      <c r="G376" s="93" t="str">
        <f>Table13[[#This Row],[Economic Sector]]</f>
        <v>Accommodation and food service activities</v>
      </c>
    </row>
    <row r="377" spans="1:7">
      <c r="A377" s="20" t="str">
        <f>Table13[[#This Row],[Governorate]]</f>
        <v>Jarash</v>
      </c>
      <c r="B377" s="82">
        <f t="shared" si="10"/>
        <v>1</v>
      </c>
      <c r="C377" s="82">
        <v>0</v>
      </c>
      <c r="D377" s="82">
        <f>Table13[[#This Row],[Women-led]]</f>
        <v>1</v>
      </c>
      <c r="E377" s="83">
        <f t="shared" si="11"/>
        <v>1</v>
      </c>
      <c r="F377" s="92">
        <f>Table13[[#This Row],[Staff Delta]]</f>
        <v>0</v>
      </c>
      <c r="G377" s="93" t="str">
        <f>Table13[[#This Row],[Economic Sector]]</f>
        <v>Administrative and support service activities</v>
      </c>
    </row>
    <row r="378" spans="1:7">
      <c r="A378" s="20" t="str">
        <f>Table13[[#This Row],[Governorate]]</f>
        <v>Jarash</v>
      </c>
      <c r="B378" s="82">
        <f t="shared" si="10"/>
        <v>1</v>
      </c>
      <c r="C378" s="82">
        <v>0</v>
      </c>
      <c r="D378" s="82">
        <f>Table13[[#This Row],[Women-led]]</f>
        <v>1</v>
      </c>
      <c r="E378" s="83">
        <f t="shared" si="11"/>
        <v>1</v>
      </c>
      <c r="F378" s="92">
        <f>Table13[[#This Row],[Staff Delta]]</f>
        <v>0</v>
      </c>
      <c r="G378" s="93" t="str">
        <f>Table13[[#This Row],[Economic Sector]]</f>
        <v>Professional, scientific and technical activities</v>
      </c>
    </row>
    <row r="379" spans="1:7">
      <c r="A379" s="20" t="str">
        <f>Table13[[#This Row],[Governorate]]</f>
        <v>Jarash</v>
      </c>
      <c r="B379" s="82">
        <f t="shared" si="10"/>
        <v>1</v>
      </c>
      <c r="C379" s="82">
        <v>0</v>
      </c>
      <c r="D379" s="82">
        <f>Table13[[#This Row],[Women-led]]</f>
        <v>1</v>
      </c>
      <c r="E379" s="83">
        <f t="shared" si="11"/>
        <v>1</v>
      </c>
      <c r="F379" s="92">
        <f>Table13[[#This Row],[Staff Delta]]</f>
        <v>0</v>
      </c>
      <c r="G379" s="93" t="str">
        <f>Table13[[#This Row],[Economic Sector]]</f>
        <v>Administrative and support service activities</v>
      </c>
    </row>
    <row r="380" spans="1:7">
      <c r="A380" s="20" t="str">
        <f>Table13[[#This Row],[Governorate]]</f>
        <v>Jarash</v>
      </c>
      <c r="B380" s="82">
        <f t="shared" si="10"/>
        <v>1</v>
      </c>
      <c r="C380" s="82">
        <v>1</v>
      </c>
      <c r="D380" s="82">
        <f>Table13[[#This Row],[Women-led]]</f>
        <v>0</v>
      </c>
      <c r="E380" s="83">
        <f t="shared" si="11"/>
        <v>0</v>
      </c>
      <c r="F380" s="92">
        <f>Table13[[#This Row],[Staff Delta]]</f>
        <v>0</v>
      </c>
      <c r="G380" s="93" t="str">
        <f>Table13[[#This Row],[Economic Sector]]</f>
        <v>Construction</v>
      </c>
    </row>
    <row r="381" spans="1:7">
      <c r="A381" s="20" t="str">
        <f>Table13[[#This Row],[Governorate]]</f>
        <v>Jarash</v>
      </c>
      <c r="B381" s="82">
        <f t="shared" si="10"/>
        <v>1</v>
      </c>
      <c r="C381" s="82">
        <v>1</v>
      </c>
      <c r="D381" s="82">
        <f>Table13[[#This Row],[Women-led]]</f>
        <v>0</v>
      </c>
      <c r="E381" s="83">
        <f t="shared" si="11"/>
        <v>0</v>
      </c>
      <c r="F381" s="92">
        <f>Table13[[#This Row],[Staff Delta]]</f>
        <v>0</v>
      </c>
      <c r="G381" s="93" t="str">
        <f>Table13[[#This Row],[Economic Sector]]</f>
        <v>Manufacturing</v>
      </c>
    </row>
    <row r="382" spans="1:7">
      <c r="A382" s="20" t="str">
        <f>Table13[[#This Row],[Governorate]]</f>
        <v>Jarash</v>
      </c>
      <c r="B382" s="82">
        <f t="shared" si="10"/>
        <v>1</v>
      </c>
      <c r="C382" s="82">
        <v>1</v>
      </c>
      <c r="D382" s="82">
        <f>Table13[[#This Row],[Women-led]]</f>
        <v>0</v>
      </c>
      <c r="E382" s="83">
        <f t="shared" si="11"/>
        <v>0</v>
      </c>
      <c r="F382" s="92">
        <f>Table13[[#This Row],[Staff Delta]]</f>
        <v>0</v>
      </c>
      <c r="G382" s="93" t="str">
        <f>Table13[[#This Row],[Economic Sector]]</f>
        <v>Manufacturing</v>
      </c>
    </row>
    <row r="383" spans="1:7">
      <c r="A383" s="20" t="str">
        <f>Table13[[#This Row],[Governorate]]</f>
        <v>Jarash</v>
      </c>
      <c r="B383" s="82">
        <f t="shared" si="10"/>
        <v>1</v>
      </c>
      <c r="C383" s="82">
        <v>1</v>
      </c>
      <c r="D383" s="82">
        <f>Table13[[#This Row],[Women-led]]</f>
        <v>0</v>
      </c>
      <c r="E383" s="83">
        <f t="shared" si="11"/>
        <v>0</v>
      </c>
      <c r="F383" s="92">
        <f>Table13[[#This Row],[Staff Delta]]</f>
        <v>0</v>
      </c>
      <c r="G383" s="93" t="str">
        <f>Table13[[#This Row],[Economic Sector]]</f>
        <v>Manufacturing</v>
      </c>
    </row>
    <row r="384" spans="1:7">
      <c r="A384" s="20" t="str">
        <f>Table13[[#This Row],[Governorate]]</f>
        <v>Jarash</v>
      </c>
      <c r="B384" s="82">
        <f t="shared" si="10"/>
        <v>1</v>
      </c>
      <c r="C384" s="82">
        <v>0</v>
      </c>
      <c r="D384" s="82">
        <f>Table13[[#This Row],[Women-led]]</f>
        <v>1</v>
      </c>
      <c r="E384" s="83">
        <f t="shared" si="11"/>
        <v>1</v>
      </c>
      <c r="F384" s="92">
        <f>Table13[[#This Row],[Staff Delta]]</f>
        <v>0</v>
      </c>
      <c r="G384" s="93" t="str">
        <f>Table13[[#This Row],[Economic Sector]]</f>
        <v>Financial and insurance activities</v>
      </c>
    </row>
    <row r="385" spans="1:7">
      <c r="A385" s="20" t="str">
        <f>Table13[[#This Row],[Governorate]]</f>
        <v>Jarash</v>
      </c>
      <c r="B385" s="82">
        <f t="shared" si="10"/>
        <v>1</v>
      </c>
      <c r="C385" s="82">
        <v>1</v>
      </c>
      <c r="D385" s="82">
        <f>Table13[[#This Row],[Women-led]]</f>
        <v>0</v>
      </c>
      <c r="E385" s="83">
        <f t="shared" si="11"/>
        <v>0</v>
      </c>
      <c r="F385" s="92">
        <f>Table13[[#This Row],[Staff Delta]]</f>
        <v>0</v>
      </c>
      <c r="G385" s="93" t="str">
        <f>Table13[[#This Row],[Economic Sector]]</f>
        <v>Agriculture, forestry and fishing</v>
      </c>
    </row>
    <row r="386" spans="1:7">
      <c r="A386" s="20" t="str">
        <f>Table13[[#This Row],[Governorate]]</f>
        <v>Jarash</v>
      </c>
      <c r="B386" s="82">
        <f t="shared" si="10"/>
        <v>1</v>
      </c>
      <c r="C386" s="82">
        <v>0</v>
      </c>
      <c r="D386" s="82">
        <f>Table13[[#This Row],[Women-led]]</f>
        <v>1</v>
      </c>
      <c r="E386" s="83">
        <f t="shared" si="11"/>
        <v>1</v>
      </c>
      <c r="F386" s="92">
        <f>Table13[[#This Row],[Staff Delta]]</f>
        <v>0</v>
      </c>
      <c r="G386" s="93" t="str">
        <f>Table13[[#This Row],[Economic Sector]]</f>
        <v>Arts, entertainment and recreation</v>
      </c>
    </row>
    <row r="387" spans="1:7">
      <c r="A387" s="20" t="str">
        <f>Table13[[#This Row],[Governorate]]</f>
        <v>Jarash</v>
      </c>
      <c r="B387" s="82">
        <f t="shared" si="10"/>
        <v>1</v>
      </c>
      <c r="C387" s="82">
        <v>0</v>
      </c>
      <c r="D387" s="82">
        <f>Table13[[#This Row],[Women-led]]</f>
        <v>1</v>
      </c>
      <c r="E387" s="83">
        <f t="shared" si="11"/>
        <v>1</v>
      </c>
      <c r="F387" s="92">
        <f>Table13[[#This Row],[Staff Delta]]</f>
        <v>0</v>
      </c>
      <c r="G387" s="93" t="str">
        <f>Table13[[#This Row],[Economic Sector]]</f>
        <v>Human health and social work activities</v>
      </c>
    </row>
    <row r="388" spans="1:7">
      <c r="A388" s="20" t="str">
        <f>Table13[[#This Row],[Governorate]]</f>
        <v>Jarash</v>
      </c>
      <c r="B388" s="82">
        <f t="shared" si="10"/>
        <v>1</v>
      </c>
      <c r="C388" s="82">
        <v>0</v>
      </c>
      <c r="D388" s="82">
        <f>Table13[[#This Row],[Women-led]]</f>
        <v>1</v>
      </c>
      <c r="E388" s="83">
        <f t="shared" si="11"/>
        <v>1</v>
      </c>
      <c r="F388" s="92">
        <f>Table13[[#This Row],[Staff Delta]]</f>
        <v>0</v>
      </c>
      <c r="G388" s="93" t="str">
        <f>Table13[[#This Row],[Economic Sector]]</f>
        <v>Manufacturing</v>
      </c>
    </row>
    <row r="389" spans="1:7">
      <c r="A389" s="20" t="str">
        <f>Table13[[#This Row],[Governorate]]</f>
        <v>Jarash</v>
      </c>
      <c r="B389" s="82">
        <f t="shared" si="10"/>
        <v>1</v>
      </c>
      <c r="C389" s="82">
        <v>0</v>
      </c>
      <c r="D389" s="82">
        <f>Table13[[#This Row],[Women-led]]</f>
        <v>1</v>
      </c>
      <c r="E389" s="83">
        <f t="shared" si="11"/>
        <v>1</v>
      </c>
      <c r="F389" s="92">
        <f>Table13[[#This Row],[Staff Delta]]</f>
        <v>0</v>
      </c>
      <c r="G389" s="93" t="str">
        <f>Table13[[#This Row],[Economic Sector]]</f>
        <v>Arts, entertainment and recreation</v>
      </c>
    </row>
    <row r="390" spans="1:7">
      <c r="A390" s="20" t="str">
        <f>Table13[[#This Row],[Governorate]]</f>
        <v>Jarash</v>
      </c>
      <c r="B390" s="82">
        <f t="shared" ref="B390:B453" si="12">C390+D390</f>
        <v>1</v>
      </c>
      <c r="C390" s="82">
        <v>0</v>
      </c>
      <c r="D390" s="82">
        <f>Table13[[#This Row],[Women-led]]</f>
        <v>1</v>
      </c>
      <c r="E390" s="83">
        <f t="shared" ref="E390:E453" si="13">IF(OR(B390="",D390=""),"",IFERROR(D390/B390,""))</f>
        <v>1</v>
      </c>
      <c r="F390" s="92">
        <f>Table13[[#This Row],[Staff Delta]]</f>
        <v>0</v>
      </c>
      <c r="G390" s="93" t="str">
        <f>Table13[[#This Row],[Economic Sector]]</f>
        <v>Manufacturing</v>
      </c>
    </row>
    <row r="391" spans="1:7">
      <c r="A391" s="20" t="str">
        <f>Table13[[#This Row],[Governorate]]</f>
        <v>Jarash</v>
      </c>
      <c r="B391" s="82">
        <f t="shared" si="12"/>
        <v>1</v>
      </c>
      <c r="C391" s="82">
        <v>0</v>
      </c>
      <c r="D391" s="82">
        <f>Table13[[#This Row],[Women-led]]</f>
        <v>1</v>
      </c>
      <c r="E391" s="83">
        <f t="shared" si="13"/>
        <v>1</v>
      </c>
      <c r="F391" s="92">
        <f>Table13[[#This Row],[Staff Delta]]</f>
        <v>0</v>
      </c>
      <c r="G391" s="93" t="str">
        <f>Table13[[#This Row],[Economic Sector]]</f>
        <v>Agriculture, forestry and fishing</v>
      </c>
    </row>
    <row r="392" spans="1:7">
      <c r="A392" s="20" t="str">
        <f>Table13[[#This Row],[Governorate]]</f>
        <v>Jarash</v>
      </c>
      <c r="B392" s="82">
        <f t="shared" si="12"/>
        <v>1</v>
      </c>
      <c r="C392" s="82">
        <v>1</v>
      </c>
      <c r="D392" s="82">
        <f>Table13[[#This Row],[Women-led]]</f>
        <v>0</v>
      </c>
      <c r="E392" s="83">
        <f t="shared" si="13"/>
        <v>0</v>
      </c>
      <c r="F392" s="92">
        <f>Table13[[#This Row],[Staff Delta]]</f>
        <v>0</v>
      </c>
      <c r="G392" s="93" t="str">
        <f>Table13[[#This Row],[Economic Sector]]</f>
        <v>Arts, entertainment and recreation</v>
      </c>
    </row>
    <row r="393" spans="1:7">
      <c r="A393" s="20" t="str">
        <f>Table13[[#This Row],[Governorate]]</f>
        <v>Jarash</v>
      </c>
      <c r="B393" s="82">
        <f t="shared" si="12"/>
        <v>1</v>
      </c>
      <c r="C393" s="82">
        <v>0</v>
      </c>
      <c r="D393" s="82">
        <f>Table13[[#This Row],[Women-led]]</f>
        <v>1</v>
      </c>
      <c r="E393" s="83">
        <f t="shared" si="13"/>
        <v>1</v>
      </c>
      <c r="F393" s="92">
        <f>Table13[[#This Row],[Staff Delta]]</f>
        <v>0</v>
      </c>
      <c r="G393" s="93" t="str">
        <f>Table13[[#This Row],[Economic Sector]]</f>
        <v>Arts, entertainment and recreation</v>
      </c>
    </row>
    <row r="394" spans="1:7">
      <c r="A394" s="20" t="str">
        <f>Table13[[#This Row],[Governorate]]</f>
        <v>Jarash</v>
      </c>
      <c r="B394" s="82">
        <f t="shared" si="12"/>
        <v>1</v>
      </c>
      <c r="C394" s="82">
        <v>0</v>
      </c>
      <c r="D394" s="82">
        <f>Table13[[#This Row],[Women-led]]</f>
        <v>1</v>
      </c>
      <c r="E394" s="83">
        <f t="shared" si="13"/>
        <v>1</v>
      </c>
      <c r="F394" s="92">
        <f>Table13[[#This Row],[Staff Delta]]</f>
        <v>0</v>
      </c>
      <c r="G394" s="93" t="str">
        <f>Table13[[#This Row],[Economic Sector]]</f>
        <v>Manufacturing</v>
      </c>
    </row>
    <row r="395" spans="1:7">
      <c r="A395" s="20" t="str">
        <f>Table13[[#This Row],[Governorate]]</f>
        <v>Jarash</v>
      </c>
      <c r="B395" s="82">
        <f t="shared" si="12"/>
        <v>1</v>
      </c>
      <c r="C395" s="82">
        <v>0</v>
      </c>
      <c r="D395" s="82">
        <f>Table13[[#This Row],[Women-led]]</f>
        <v>1</v>
      </c>
      <c r="E395" s="83">
        <f t="shared" si="13"/>
        <v>1</v>
      </c>
      <c r="F395" s="92">
        <f>Table13[[#This Row],[Staff Delta]]</f>
        <v>0</v>
      </c>
      <c r="G395" s="93" t="str">
        <f>Table13[[#This Row],[Economic Sector]]</f>
        <v>Arts, entertainment and recreation</v>
      </c>
    </row>
    <row r="396" spans="1:7">
      <c r="A396" s="20" t="str">
        <f>Table13[[#This Row],[Governorate]]</f>
        <v>Jarash</v>
      </c>
      <c r="B396" s="82">
        <f t="shared" si="12"/>
        <v>1</v>
      </c>
      <c r="C396" s="82">
        <v>0</v>
      </c>
      <c r="D396" s="82">
        <f>Table13[[#This Row],[Women-led]]</f>
        <v>1</v>
      </c>
      <c r="E396" s="83">
        <f t="shared" si="13"/>
        <v>1</v>
      </c>
      <c r="F396" s="92">
        <f>Table13[[#This Row],[Staff Delta]]</f>
        <v>0</v>
      </c>
      <c r="G396" s="93" t="str">
        <f>Table13[[#This Row],[Economic Sector]]</f>
        <v>Arts, entertainment and recreation</v>
      </c>
    </row>
    <row r="397" spans="1:7">
      <c r="A397" s="20" t="str">
        <f>Table13[[#This Row],[Governorate]]</f>
        <v>Jarash</v>
      </c>
      <c r="B397" s="82">
        <f t="shared" si="12"/>
        <v>1</v>
      </c>
      <c r="C397" s="82">
        <v>0</v>
      </c>
      <c r="D397" s="82">
        <f>Table13[[#This Row],[Women-led]]</f>
        <v>1</v>
      </c>
      <c r="E397" s="83">
        <f t="shared" si="13"/>
        <v>1</v>
      </c>
      <c r="F397" s="92">
        <f>Table13[[#This Row],[Staff Delta]]</f>
        <v>0</v>
      </c>
      <c r="G397" s="93" t="str">
        <f>Table13[[#This Row],[Economic Sector]]</f>
        <v>Arts, entertainment and recreation</v>
      </c>
    </row>
    <row r="398" spans="1:7">
      <c r="A398" s="20" t="str">
        <f>Table13[[#This Row],[Governorate]]</f>
        <v>Jarash</v>
      </c>
      <c r="B398" s="82">
        <f t="shared" si="12"/>
        <v>1</v>
      </c>
      <c r="C398" s="82">
        <v>1</v>
      </c>
      <c r="D398" s="82">
        <f>Table13[[#This Row],[Women-led]]</f>
        <v>0</v>
      </c>
      <c r="E398" s="83">
        <f t="shared" si="13"/>
        <v>0</v>
      </c>
      <c r="F398" s="92">
        <f>Table13[[#This Row],[Staff Delta]]</f>
        <v>0</v>
      </c>
      <c r="G398" s="93" t="str">
        <f>Table13[[#This Row],[Economic Sector]]</f>
        <v>Accommodation and food service activities</v>
      </c>
    </row>
    <row r="399" spans="1:7">
      <c r="A399" s="20" t="str">
        <f>Table13[[#This Row],[Governorate]]</f>
        <v>Jarash</v>
      </c>
      <c r="B399" s="82">
        <f t="shared" si="12"/>
        <v>1</v>
      </c>
      <c r="C399" s="82">
        <v>0</v>
      </c>
      <c r="D399" s="82">
        <f>Table13[[#This Row],[Women-led]]</f>
        <v>1</v>
      </c>
      <c r="E399" s="83">
        <f t="shared" si="13"/>
        <v>1</v>
      </c>
      <c r="F399" s="92">
        <f>Table13[[#This Row],[Staff Delta]]</f>
        <v>0</v>
      </c>
      <c r="G399" s="93" t="str">
        <f>Table13[[#This Row],[Economic Sector]]</f>
        <v>Arts, entertainment and recreation</v>
      </c>
    </row>
    <row r="400" spans="1:7">
      <c r="A400" s="20" t="str">
        <f>Table13[[#This Row],[Governorate]]</f>
        <v>Jarash</v>
      </c>
      <c r="B400" s="82">
        <f t="shared" si="12"/>
        <v>1</v>
      </c>
      <c r="C400" s="82">
        <v>0</v>
      </c>
      <c r="D400" s="82">
        <f>Table13[[#This Row],[Women-led]]</f>
        <v>1</v>
      </c>
      <c r="E400" s="83">
        <f t="shared" si="13"/>
        <v>1</v>
      </c>
      <c r="F400" s="92">
        <f>Table13[[#This Row],[Staff Delta]]</f>
        <v>0</v>
      </c>
      <c r="G400" s="93">
        <f>Table13[[#This Row],[Economic Sector]]</f>
        <v>0</v>
      </c>
    </row>
    <row r="401" spans="1:7">
      <c r="A401" s="20" t="str">
        <f>Table13[[#This Row],[Governorate]]</f>
        <v>Jarash</v>
      </c>
      <c r="B401" s="82">
        <f t="shared" si="12"/>
        <v>1</v>
      </c>
      <c r="C401" s="82">
        <v>0</v>
      </c>
      <c r="D401" s="82">
        <f>Table13[[#This Row],[Women-led]]</f>
        <v>1</v>
      </c>
      <c r="E401" s="83">
        <f t="shared" si="13"/>
        <v>1</v>
      </c>
      <c r="F401" s="92">
        <f>Table13[[#This Row],[Staff Delta]]</f>
        <v>0</v>
      </c>
      <c r="G401" s="93" t="str">
        <f>Table13[[#This Row],[Economic Sector]]</f>
        <v>Public administration and defense; compulsory social security</v>
      </c>
    </row>
    <row r="402" spans="1:7">
      <c r="A402" s="20" t="str">
        <f>Table13[[#This Row],[Governorate]]</f>
        <v>Jarash</v>
      </c>
      <c r="B402" s="82">
        <f t="shared" si="12"/>
        <v>1</v>
      </c>
      <c r="C402" s="82">
        <v>0</v>
      </c>
      <c r="D402" s="82">
        <f>Table13[[#This Row],[Women-led]]</f>
        <v>1</v>
      </c>
      <c r="E402" s="83">
        <f t="shared" si="13"/>
        <v>1</v>
      </c>
      <c r="F402" s="92">
        <f>Table13[[#This Row],[Staff Delta]]</f>
        <v>0</v>
      </c>
      <c r="G402" s="93" t="str">
        <f>Table13[[#This Row],[Economic Sector]]</f>
        <v>Manufacturing</v>
      </c>
    </row>
    <row r="403" spans="1:7">
      <c r="A403" s="20" t="str">
        <f>Table13[[#This Row],[Governorate]]</f>
        <v>Jarash</v>
      </c>
      <c r="B403" s="82">
        <f t="shared" si="12"/>
        <v>1</v>
      </c>
      <c r="C403" s="82">
        <v>1</v>
      </c>
      <c r="D403" s="82">
        <f>Table13[[#This Row],[Women-led]]</f>
        <v>0</v>
      </c>
      <c r="E403" s="83">
        <f t="shared" si="13"/>
        <v>0</v>
      </c>
      <c r="F403" s="92">
        <f>Table13[[#This Row],[Staff Delta]]</f>
        <v>0</v>
      </c>
      <c r="G403" s="93" t="str">
        <f>Table13[[#This Row],[Economic Sector]]</f>
        <v>Manufacturing</v>
      </c>
    </row>
    <row r="404" spans="1:7">
      <c r="A404" s="20" t="str">
        <f>Table13[[#This Row],[Governorate]]</f>
        <v>Jarash</v>
      </c>
      <c r="B404" s="82">
        <f t="shared" si="12"/>
        <v>1</v>
      </c>
      <c r="C404" s="82">
        <v>0</v>
      </c>
      <c r="D404" s="82">
        <f>Table13[[#This Row],[Women-led]]</f>
        <v>1</v>
      </c>
      <c r="E404" s="83">
        <f t="shared" si="13"/>
        <v>1</v>
      </c>
      <c r="F404" s="92">
        <f>Table13[[#This Row],[Staff Delta]]</f>
        <v>0</v>
      </c>
      <c r="G404" s="93" t="str">
        <f>Table13[[#This Row],[Economic Sector]]</f>
        <v>Education</v>
      </c>
    </row>
    <row r="405" spans="1:7">
      <c r="A405" s="20" t="str">
        <f>Table13[[#This Row],[Governorate]]</f>
        <v>Karak</v>
      </c>
      <c r="B405" s="82">
        <f t="shared" si="12"/>
        <v>1</v>
      </c>
      <c r="C405" s="82">
        <v>0</v>
      </c>
      <c r="D405" s="82">
        <f>Table13[[#This Row],[Women-led]]</f>
        <v>1</v>
      </c>
      <c r="E405" s="83">
        <f t="shared" si="13"/>
        <v>1</v>
      </c>
      <c r="F405" s="92">
        <f>Table13[[#This Row],[Staff Delta]]</f>
        <v>1</v>
      </c>
      <c r="G405" s="93" t="str">
        <f>Table13[[#This Row],[Economic Sector]]</f>
        <v>Manufacturing</v>
      </c>
    </row>
    <row r="406" spans="1:7">
      <c r="A406" s="20" t="str">
        <f>Table13[[#This Row],[Governorate]]</f>
        <v>Karak</v>
      </c>
      <c r="B406" s="82">
        <f t="shared" si="12"/>
        <v>1</v>
      </c>
      <c r="C406" s="82">
        <v>1</v>
      </c>
      <c r="D406" s="82">
        <f>Table13[[#This Row],[Women-led]]</f>
        <v>0</v>
      </c>
      <c r="E406" s="83">
        <f t="shared" si="13"/>
        <v>0</v>
      </c>
      <c r="F406" s="92">
        <f>Table13[[#This Row],[Staff Delta]]</f>
        <v>5</v>
      </c>
      <c r="G406" s="93" t="str">
        <f>Table13[[#This Row],[Economic Sector]]</f>
        <v>Manufacturing</v>
      </c>
    </row>
    <row r="407" spans="1:7">
      <c r="A407" s="20" t="str">
        <f>Table13[[#This Row],[Governorate]]</f>
        <v>Karak</v>
      </c>
      <c r="B407" s="82">
        <f t="shared" si="12"/>
        <v>1</v>
      </c>
      <c r="C407" s="82">
        <v>1</v>
      </c>
      <c r="D407" s="82">
        <f>Table13[[#This Row],[Women-led]]</f>
        <v>0</v>
      </c>
      <c r="E407" s="83">
        <f t="shared" si="13"/>
        <v>0</v>
      </c>
      <c r="F407" s="92">
        <f>Table13[[#This Row],[Staff Delta]]</f>
        <v>4</v>
      </c>
      <c r="G407" s="93" t="str">
        <f>Table13[[#This Row],[Economic Sector]]</f>
        <v>Manufacturing</v>
      </c>
    </row>
    <row r="408" spans="1:7">
      <c r="A408" s="20" t="str">
        <f>Table13[[#This Row],[Governorate]]</f>
        <v>Karak</v>
      </c>
      <c r="B408" s="82">
        <f t="shared" si="12"/>
        <v>1</v>
      </c>
      <c r="C408" s="82">
        <v>0</v>
      </c>
      <c r="D408" s="82">
        <f>Table13[[#This Row],[Women-led]]</f>
        <v>1</v>
      </c>
      <c r="E408" s="83">
        <f t="shared" si="13"/>
        <v>1</v>
      </c>
      <c r="F408" s="92">
        <f>Table13[[#This Row],[Staff Delta]]</f>
        <v>4</v>
      </c>
      <c r="G408" s="93" t="str">
        <f>Table13[[#This Row],[Economic Sector]]</f>
        <v>Water supply; sewerage, waste management and remediation activities</v>
      </c>
    </row>
    <row r="409" spans="1:7">
      <c r="A409" s="20" t="str">
        <f>Table13[[#This Row],[Governorate]]</f>
        <v>Karak</v>
      </c>
      <c r="B409" s="82">
        <f t="shared" si="12"/>
        <v>1</v>
      </c>
      <c r="C409" s="82">
        <v>0</v>
      </c>
      <c r="D409" s="82">
        <f>Table13[[#This Row],[Women-led]]</f>
        <v>1</v>
      </c>
      <c r="E409" s="83">
        <f t="shared" si="13"/>
        <v>1</v>
      </c>
      <c r="F409" s="92">
        <f>Table13[[#This Row],[Staff Delta]]</f>
        <v>2</v>
      </c>
      <c r="G409" s="93" t="str">
        <f>Table13[[#This Row],[Economic Sector]]</f>
        <v>Manufacturing</v>
      </c>
    </row>
    <row r="410" spans="1:7">
      <c r="A410" s="20" t="str">
        <f>Table13[[#This Row],[Governorate]]</f>
        <v>Karak</v>
      </c>
      <c r="B410" s="82">
        <f t="shared" si="12"/>
        <v>1</v>
      </c>
      <c r="C410" s="82">
        <v>0</v>
      </c>
      <c r="D410" s="82">
        <f>Table13[[#This Row],[Women-led]]</f>
        <v>1</v>
      </c>
      <c r="E410" s="83">
        <f t="shared" si="13"/>
        <v>1</v>
      </c>
      <c r="F410" s="92">
        <f>Table13[[#This Row],[Staff Delta]]</f>
        <v>0</v>
      </c>
      <c r="G410" s="93" t="str">
        <f>Table13[[#This Row],[Economic Sector]]</f>
        <v>Manufacturing</v>
      </c>
    </row>
    <row r="411" spans="1:7">
      <c r="A411" s="20" t="str">
        <f>Table13[[#This Row],[Governorate]]</f>
        <v>Karak</v>
      </c>
      <c r="B411" s="82">
        <f t="shared" si="12"/>
        <v>1</v>
      </c>
      <c r="C411" s="82">
        <v>0</v>
      </c>
      <c r="D411" s="82">
        <f>Table13[[#This Row],[Women-led]]</f>
        <v>1</v>
      </c>
      <c r="E411" s="83">
        <f t="shared" si="13"/>
        <v>1</v>
      </c>
      <c r="F411" s="92">
        <f>Table13[[#This Row],[Staff Delta]]</f>
        <v>6</v>
      </c>
      <c r="G411" s="93">
        <f>Table13[[#This Row],[Economic Sector]]</f>
        <v>0</v>
      </c>
    </row>
    <row r="412" spans="1:7">
      <c r="A412" s="20" t="str">
        <f>Table13[[#This Row],[Governorate]]</f>
        <v>Karak</v>
      </c>
      <c r="B412" s="82">
        <f t="shared" si="12"/>
        <v>1</v>
      </c>
      <c r="C412" s="82">
        <v>1</v>
      </c>
      <c r="D412" s="82">
        <f>Table13[[#This Row],[Women-led]]</f>
        <v>0</v>
      </c>
      <c r="E412" s="83">
        <f t="shared" si="13"/>
        <v>0</v>
      </c>
      <c r="F412" s="92">
        <f>Table13[[#This Row],[Staff Delta]]</f>
        <v>6</v>
      </c>
      <c r="G412" s="93" t="str">
        <f>Table13[[#This Row],[Economic Sector]]</f>
        <v>Administrative and support service activities</v>
      </c>
    </row>
    <row r="413" spans="1:7">
      <c r="A413" s="20" t="str">
        <f>Table13[[#This Row],[Governorate]]</f>
        <v>Karak</v>
      </c>
      <c r="B413" s="82">
        <f t="shared" si="12"/>
        <v>1</v>
      </c>
      <c r="C413" s="82">
        <v>1</v>
      </c>
      <c r="D413" s="82">
        <f>Table13[[#This Row],[Women-led]]</f>
        <v>0</v>
      </c>
      <c r="E413" s="83">
        <f t="shared" si="13"/>
        <v>0</v>
      </c>
      <c r="F413" s="92">
        <f>Table13[[#This Row],[Staff Delta]]</f>
        <v>6</v>
      </c>
      <c r="G413" s="93" t="str">
        <f>Table13[[#This Row],[Economic Sector]]</f>
        <v>Arts, entertainment and recreation</v>
      </c>
    </row>
    <row r="414" spans="1:7">
      <c r="A414" s="20" t="str">
        <f>Table13[[#This Row],[Governorate]]</f>
        <v>Karak</v>
      </c>
      <c r="B414" s="82">
        <f t="shared" si="12"/>
        <v>1</v>
      </c>
      <c r="C414" s="82">
        <v>1</v>
      </c>
      <c r="D414" s="82">
        <f>Table13[[#This Row],[Women-led]]</f>
        <v>0</v>
      </c>
      <c r="E414" s="83">
        <f t="shared" si="13"/>
        <v>0</v>
      </c>
      <c r="F414" s="92">
        <f>Table13[[#This Row],[Staff Delta]]</f>
        <v>5</v>
      </c>
      <c r="G414" s="93" t="str">
        <f>Table13[[#This Row],[Economic Sector]]</f>
        <v>Education</v>
      </c>
    </row>
    <row r="415" spans="1:7">
      <c r="A415" s="20" t="str">
        <f>Table13[[#This Row],[Governorate]]</f>
        <v>Karak</v>
      </c>
      <c r="B415" s="82">
        <f t="shared" si="12"/>
        <v>1</v>
      </c>
      <c r="C415" s="82">
        <v>0</v>
      </c>
      <c r="D415" s="82">
        <f>Table13[[#This Row],[Women-led]]</f>
        <v>1</v>
      </c>
      <c r="E415" s="83">
        <f t="shared" si="13"/>
        <v>1</v>
      </c>
      <c r="F415" s="92">
        <f>Table13[[#This Row],[Staff Delta]]</f>
        <v>3</v>
      </c>
      <c r="G415" s="93">
        <f>Table13[[#This Row],[Economic Sector]]</f>
        <v>0</v>
      </c>
    </row>
    <row r="416" spans="1:7">
      <c r="A416" s="20" t="str">
        <f>Table13[[#This Row],[Governorate]]</f>
        <v>Karak</v>
      </c>
      <c r="B416" s="82">
        <f t="shared" si="12"/>
        <v>1</v>
      </c>
      <c r="C416" s="82">
        <v>0</v>
      </c>
      <c r="D416" s="82">
        <f>Table13[[#This Row],[Women-led]]</f>
        <v>1</v>
      </c>
      <c r="E416" s="83">
        <f t="shared" si="13"/>
        <v>1</v>
      </c>
      <c r="F416" s="92">
        <f>Table13[[#This Row],[Staff Delta]]</f>
        <v>1</v>
      </c>
      <c r="G416" s="93" t="str">
        <f>Table13[[#This Row],[Economic Sector]]</f>
        <v>Manufacturing</v>
      </c>
    </row>
    <row r="417" spans="1:7">
      <c r="A417" s="20" t="str">
        <f>Table13[[#This Row],[Governorate]]</f>
        <v>Karak</v>
      </c>
      <c r="B417" s="82">
        <f t="shared" si="12"/>
        <v>1</v>
      </c>
      <c r="C417" s="82">
        <v>0</v>
      </c>
      <c r="D417" s="82">
        <f>Table13[[#This Row],[Women-led]]</f>
        <v>1</v>
      </c>
      <c r="E417" s="83">
        <f t="shared" si="13"/>
        <v>1</v>
      </c>
      <c r="F417" s="92">
        <f>Table13[[#This Row],[Staff Delta]]</f>
        <v>1</v>
      </c>
      <c r="G417" s="93" t="str">
        <f>Table13[[#This Row],[Economic Sector]]</f>
        <v>Arts, entertainment and recreation</v>
      </c>
    </row>
    <row r="418" spans="1:7">
      <c r="A418" s="20" t="str">
        <f>Table13[[#This Row],[Governorate]]</f>
        <v>Karak</v>
      </c>
      <c r="B418" s="82">
        <f t="shared" si="12"/>
        <v>1</v>
      </c>
      <c r="C418" s="82">
        <v>0</v>
      </c>
      <c r="D418" s="82">
        <f>Table13[[#This Row],[Women-led]]</f>
        <v>1</v>
      </c>
      <c r="E418" s="83">
        <f t="shared" si="13"/>
        <v>1</v>
      </c>
      <c r="F418" s="92">
        <f>Table13[[#This Row],[Staff Delta]]</f>
        <v>2</v>
      </c>
      <c r="G418" s="93" t="str">
        <f>Table13[[#This Row],[Economic Sector]]</f>
        <v>Human health and social work activities</v>
      </c>
    </row>
    <row r="419" spans="1:7">
      <c r="A419" s="20" t="str">
        <f>Table13[[#This Row],[Governorate]]</f>
        <v>Karak</v>
      </c>
      <c r="B419" s="82">
        <f t="shared" si="12"/>
        <v>1</v>
      </c>
      <c r="C419" s="82">
        <v>1</v>
      </c>
      <c r="D419" s="82">
        <f>Table13[[#This Row],[Women-led]]</f>
        <v>0</v>
      </c>
      <c r="E419" s="83">
        <f t="shared" si="13"/>
        <v>0</v>
      </c>
      <c r="F419" s="92">
        <f>Table13[[#This Row],[Staff Delta]]</f>
        <v>4</v>
      </c>
      <c r="G419" s="93" t="str">
        <f>Table13[[#This Row],[Economic Sector]]</f>
        <v>Construction</v>
      </c>
    </row>
    <row r="420" spans="1:7">
      <c r="A420" s="20" t="str">
        <f>Table13[[#This Row],[Governorate]]</f>
        <v>Karak</v>
      </c>
      <c r="B420" s="82">
        <f t="shared" si="12"/>
        <v>1</v>
      </c>
      <c r="C420" s="82">
        <v>0</v>
      </c>
      <c r="D420" s="82">
        <f>Table13[[#This Row],[Women-led]]</f>
        <v>1</v>
      </c>
      <c r="E420" s="83">
        <f t="shared" si="13"/>
        <v>1</v>
      </c>
      <c r="F420" s="92">
        <f>Table13[[#This Row],[Staff Delta]]</f>
        <v>0</v>
      </c>
      <c r="G420" s="93" t="str">
        <f>Table13[[#This Row],[Economic Sector]]</f>
        <v>Accommodation and food service activities</v>
      </c>
    </row>
    <row r="421" spans="1:7">
      <c r="A421" s="20" t="str">
        <f>Table13[[#This Row],[Governorate]]</f>
        <v>Karak</v>
      </c>
      <c r="B421" s="82">
        <f t="shared" si="12"/>
        <v>1</v>
      </c>
      <c r="C421" s="82">
        <v>1</v>
      </c>
      <c r="D421" s="82">
        <f>Table13[[#This Row],[Women-led]]</f>
        <v>0</v>
      </c>
      <c r="E421" s="83">
        <f t="shared" si="13"/>
        <v>0</v>
      </c>
      <c r="F421" s="92">
        <f>Table13[[#This Row],[Staff Delta]]</f>
        <v>1</v>
      </c>
      <c r="G421" s="93" t="str">
        <f>Table13[[#This Row],[Economic Sector]]</f>
        <v>Administrative and support service activities</v>
      </c>
    </row>
    <row r="422" spans="1:7">
      <c r="A422" s="20" t="str">
        <f>Table13[[#This Row],[Governorate]]</f>
        <v>Karak</v>
      </c>
      <c r="B422" s="82">
        <f t="shared" si="12"/>
        <v>1</v>
      </c>
      <c r="C422" s="82">
        <v>1</v>
      </c>
      <c r="D422" s="82">
        <f>Table13[[#This Row],[Women-led]]</f>
        <v>0</v>
      </c>
      <c r="E422" s="83">
        <f t="shared" si="13"/>
        <v>0</v>
      </c>
      <c r="F422" s="92">
        <f>Table13[[#This Row],[Staff Delta]]</f>
        <v>6</v>
      </c>
      <c r="G422" s="93" t="str">
        <f>Table13[[#This Row],[Economic Sector]]</f>
        <v>Administrative and support service activities</v>
      </c>
    </row>
    <row r="423" spans="1:7">
      <c r="A423" s="20" t="str">
        <f>Table13[[#This Row],[Governorate]]</f>
        <v>Karak</v>
      </c>
      <c r="B423" s="82">
        <f t="shared" si="12"/>
        <v>1</v>
      </c>
      <c r="C423" s="82">
        <v>1</v>
      </c>
      <c r="D423" s="82">
        <f>Table13[[#This Row],[Women-led]]</f>
        <v>0</v>
      </c>
      <c r="E423" s="83">
        <f t="shared" si="13"/>
        <v>0</v>
      </c>
      <c r="F423" s="92">
        <f>Table13[[#This Row],[Staff Delta]]</f>
        <v>0</v>
      </c>
      <c r="G423" s="93" t="str">
        <f>Table13[[#This Row],[Economic Sector]]</f>
        <v>Financial and insurance activities</v>
      </c>
    </row>
    <row r="424" spans="1:7">
      <c r="A424" s="20" t="str">
        <f>Table13[[#This Row],[Governorate]]</f>
        <v>Karak</v>
      </c>
      <c r="B424" s="82">
        <f t="shared" si="12"/>
        <v>1</v>
      </c>
      <c r="C424" s="82">
        <v>1</v>
      </c>
      <c r="D424" s="82">
        <f>Table13[[#This Row],[Women-led]]</f>
        <v>0</v>
      </c>
      <c r="E424" s="83">
        <f t="shared" si="13"/>
        <v>0</v>
      </c>
      <c r="F424" s="92">
        <f>Table13[[#This Row],[Staff Delta]]</f>
        <v>4</v>
      </c>
      <c r="G424" s="93" t="str">
        <f>Table13[[#This Row],[Economic Sector]]</f>
        <v>Human health and social work activities</v>
      </c>
    </row>
    <row r="425" spans="1:7">
      <c r="A425" s="20" t="str">
        <f>Table13[[#This Row],[Governorate]]</f>
        <v>Karak</v>
      </c>
      <c r="B425" s="82">
        <f t="shared" si="12"/>
        <v>1</v>
      </c>
      <c r="C425" s="82">
        <v>0</v>
      </c>
      <c r="D425" s="82">
        <f>Table13[[#This Row],[Women-led]]</f>
        <v>1</v>
      </c>
      <c r="E425" s="83">
        <f t="shared" si="13"/>
        <v>1</v>
      </c>
      <c r="F425" s="92">
        <f>Table13[[#This Row],[Staff Delta]]</f>
        <v>10</v>
      </c>
      <c r="G425" s="93" t="str">
        <f>Table13[[#This Row],[Economic Sector]]</f>
        <v>Education</v>
      </c>
    </row>
    <row r="426" spans="1:7">
      <c r="A426" s="20" t="str">
        <f>Table13[[#This Row],[Governorate]]</f>
        <v>Karak</v>
      </c>
      <c r="B426" s="82">
        <f t="shared" si="12"/>
        <v>1</v>
      </c>
      <c r="C426" s="82">
        <v>0</v>
      </c>
      <c r="D426" s="82">
        <f>Table13[[#This Row],[Women-led]]</f>
        <v>1</v>
      </c>
      <c r="E426" s="83">
        <f t="shared" si="13"/>
        <v>1</v>
      </c>
      <c r="F426" s="92">
        <f>Table13[[#This Row],[Staff Delta]]</f>
        <v>0</v>
      </c>
      <c r="G426" s="93" t="str">
        <f>Table13[[#This Row],[Economic Sector]]</f>
        <v>Education</v>
      </c>
    </row>
    <row r="427" spans="1:7">
      <c r="A427" s="20" t="str">
        <f>Table13[[#This Row],[Governorate]]</f>
        <v>Karak</v>
      </c>
      <c r="B427" s="82">
        <f t="shared" si="12"/>
        <v>1</v>
      </c>
      <c r="C427" s="82">
        <v>0</v>
      </c>
      <c r="D427" s="82">
        <f>Table13[[#This Row],[Women-led]]</f>
        <v>1</v>
      </c>
      <c r="E427" s="83">
        <f t="shared" si="13"/>
        <v>1</v>
      </c>
      <c r="F427" s="92">
        <f>Table13[[#This Row],[Staff Delta]]</f>
        <v>6</v>
      </c>
      <c r="G427" s="93" t="str">
        <f>Table13[[#This Row],[Economic Sector]]</f>
        <v>Education</v>
      </c>
    </row>
    <row r="428" spans="1:7">
      <c r="A428" s="20" t="str">
        <f>Table13[[#This Row],[Governorate]]</f>
        <v>Karak</v>
      </c>
      <c r="B428" s="82">
        <f t="shared" si="12"/>
        <v>1</v>
      </c>
      <c r="C428" s="82">
        <v>1</v>
      </c>
      <c r="D428" s="82">
        <f>Table13[[#This Row],[Women-led]]</f>
        <v>0</v>
      </c>
      <c r="E428" s="83">
        <f t="shared" si="13"/>
        <v>0</v>
      </c>
      <c r="F428" s="92">
        <f>Table13[[#This Row],[Staff Delta]]</f>
        <v>9</v>
      </c>
      <c r="G428" s="93" t="str">
        <f>Table13[[#This Row],[Economic Sector]]</f>
        <v>Manufacturing</v>
      </c>
    </row>
    <row r="429" spans="1:7">
      <c r="A429" s="20" t="str">
        <f>Table13[[#This Row],[Governorate]]</f>
        <v>Karak</v>
      </c>
      <c r="B429" s="82">
        <f t="shared" si="12"/>
        <v>1</v>
      </c>
      <c r="C429" s="82">
        <v>0</v>
      </c>
      <c r="D429" s="82">
        <f>Table13[[#This Row],[Women-led]]</f>
        <v>1</v>
      </c>
      <c r="E429" s="83">
        <f t="shared" si="13"/>
        <v>1</v>
      </c>
      <c r="F429" s="92">
        <f>Table13[[#This Row],[Staff Delta]]</f>
        <v>0</v>
      </c>
      <c r="G429" s="93" t="str">
        <f>Table13[[#This Row],[Economic Sector]]</f>
        <v>Human health and social work activities</v>
      </c>
    </row>
    <row r="430" spans="1:7">
      <c r="A430" s="20" t="str">
        <f>Table13[[#This Row],[Governorate]]</f>
        <v>Karak</v>
      </c>
      <c r="B430" s="82">
        <f t="shared" si="12"/>
        <v>1</v>
      </c>
      <c r="C430" s="82">
        <v>0</v>
      </c>
      <c r="D430" s="82">
        <f>Table13[[#This Row],[Women-led]]</f>
        <v>1</v>
      </c>
      <c r="E430" s="83">
        <f t="shared" si="13"/>
        <v>1</v>
      </c>
      <c r="F430" s="92">
        <f>Table13[[#This Row],[Staff Delta]]</f>
        <v>0</v>
      </c>
      <c r="G430" s="93" t="str">
        <f>Table13[[#This Row],[Economic Sector]]</f>
        <v>Agriculture, forestry and fishing</v>
      </c>
    </row>
    <row r="431" spans="1:7">
      <c r="A431" s="20" t="str">
        <f>Table13[[#This Row],[Governorate]]</f>
        <v>Karak</v>
      </c>
      <c r="B431" s="82">
        <f t="shared" si="12"/>
        <v>1</v>
      </c>
      <c r="C431" s="82">
        <v>0</v>
      </c>
      <c r="D431" s="82">
        <f>Table13[[#This Row],[Women-led]]</f>
        <v>1</v>
      </c>
      <c r="E431" s="83">
        <f t="shared" si="13"/>
        <v>1</v>
      </c>
      <c r="F431" s="92">
        <f>Table13[[#This Row],[Staff Delta]]</f>
        <v>4</v>
      </c>
      <c r="G431" s="93" t="str">
        <f>Table13[[#This Row],[Economic Sector]]</f>
        <v>Agriculture, forestry and fishing</v>
      </c>
    </row>
    <row r="432" spans="1:7">
      <c r="A432" s="20" t="str">
        <f>Table13[[#This Row],[Governorate]]</f>
        <v>Karak</v>
      </c>
      <c r="B432" s="82">
        <f t="shared" si="12"/>
        <v>1</v>
      </c>
      <c r="C432" s="82">
        <v>0</v>
      </c>
      <c r="D432" s="82">
        <f>Table13[[#This Row],[Women-led]]</f>
        <v>1</v>
      </c>
      <c r="E432" s="83">
        <f t="shared" si="13"/>
        <v>1</v>
      </c>
      <c r="F432" s="92">
        <f>Table13[[#This Row],[Staff Delta]]</f>
        <v>0</v>
      </c>
      <c r="G432" s="93" t="str">
        <f>Table13[[#This Row],[Economic Sector]]</f>
        <v>Manufacturing</v>
      </c>
    </row>
    <row r="433" spans="1:7">
      <c r="A433" s="20" t="str">
        <f>Table13[[#This Row],[Governorate]]</f>
        <v>Karak</v>
      </c>
      <c r="B433" s="82">
        <f t="shared" si="12"/>
        <v>1</v>
      </c>
      <c r="C433" s="82">
        <v>0</v>
      </c>
      <c r="D433" s="82">
        <f>Table13[[#This Row],[Women-led]]</f>
        <v>1</v>
      </c>
      <c r="E433" s="83">
        <f t="shared" si="13"/>
        <v>1</v>
      </c>
      <c r="F433" s="92">
        <f>Table13[[#This Row],[Staff Delta]]</f>
        <v>0</v>
      </c>
      <c r="G433" s="93" t="str">
        <f>Table13[[#This Row],[Economic Sector]]</f>
        <v>Manufacturing</v>
      </c>
    </row>
    <row r="434" spans="1:7">
      <c r="A434" s="20" t="str">
        <f>Table13[[#This Row],[Governorate]]</f>
        <v>Karak</v>
      </c>
      <c r="B434" s="82">
        <f t="shared" si="12"/>
        <v>1</v>
      </c>
      <c r="C434" s="82">
        <v>0</v>
      </c>
      <c r="D434" s="82">
        <f>Table13[[#This Row],[Women-led]]</f>
        <v>1</v>
      </c>
      <c r="E434" s="83">
        <f t="shared" si="13"/>
        <v>1</v>
      </c>
      <c r="F434" s="92">
        <f>Table13[[#This Row],[Staff Delta]]</f>
        <v>1</v>
      </c>
      <c r="G434" s="93" t="str">
        <f>Table13[[#This Row],[Economic Sector]]</f>
        <v>Manufacturing</v>
      </c>
    </row>
    <row r="435" spans="1:7">
      <c r="A435" s="20" t="str">
        <f>Table13[[#This Row],[Governorate]]</f>
        <v>Karak</v>
      </c>
      <c r="B435" s="82">
        <f t="shared" si="12"/>
        <v>1</v>
      </c>
      <c r="C435" s="82">
        <v>0</v>
      </c>
      <c r="D435" s="82">
        <f>Table13[[#This Row],[Women-led]]</f>
        <v>1</v>
      </c>
      <c r="E435" s="83">
        <f t="shared" si="13"/>
        <v>1</v>
      </c>
      <c r="F435" s="92">
        <f>Table13[[#This Row],[Staff Delta]]</f>
        <v>2</v>
      </c>
      <c r="G435" s="93" t="str">
        <f>Table13[[#This Row],[Economic Sector]]</f>
        <v>Human health and social work activities</v>
      </c>
    </row>
    <row r="436" spans="1:7">
      <c r="A436" s="20" t="str">
        <f>Table13[[#This Row],[Governorate]]</f>
        <v>Karak</v>
      </c>
      <c r="B436" s="82">
        <f t="shared" si="12"/>
        <v>1</v>
      </c>
      <c r="C436" s="82">
        <v>0</v>
      </c>
      <c r="D436" s="82">
        <f>Table13[[#This Row],[Women-led]]</f>
        <v>1</v>
      </c>
      <c r="E436" s="83">
        <f t="shared" si="13"/>
        <v>1</v>
      </c>
      <c r="F436" s="92">
        <f>Table13[[#This Row],[Staff Delta]]</f>
        <v>3</v>
      </c>
      <c r="G436" s="93" t="str">
        <f>Table13[[#This Row],[Economic Sector]]</f>
        <v>Arts, entertainment and recreation</v>
      </c>
    </row>
    <row r="437" spans="1:7">
      <c r="A437" s="20" t="str">
        <f>Table13[[#This Row],[Governorate]]</f>
        <v>Karak</v>
      </c>
      <c r="B437" s="82">
        <f t="shared" si="12"/>
        <v>1</v>
      </c>
      <c r="C437" s="82">
        <v>0</v>
      </c>
      <c r="D437" s="82">
        <f>Table13[[#This Row],[Women-led]]</f>
        <v>1</v>
      </c>
      <c r="E437" s="83">
        <f t="shared" si="13"/>
        <v>1</v>
      </c>
      <c r="F437" s="92">
        <f>Table13[[#This Row],[Staff Delta]]</f>
        <v>1</v>
      </c>
      <c r="G437" s="93" t="str">
        <f>Table13[[#This Row],[Economic Sector]]</f>
        <v>Arts, entertainment and recreation</v>
      </c>
    </row>
    <row r="438" spans="1:7">
      <c r="A438" s="20" t="str">
        <f>Table13[[#This Row],[Governorate]]</f>
        <v>Karak</v>
      </c>
      <c r="B438" s="82">
        <f t="shared" si="12"/>
        <v>1</v>
      </c>
      <c r="C438" s="82">
        <v>0</v>
      </c>
      <c r="D438" s="82">
        <f>Table13[[#This Row],[Women-led]]</f>
        <v>1</v>
      </c>
      <c r="E438" s="83">
        <f t="shared" si="13"/>
        <v>1</v>
      </c>
      <c r="F438" s="92">
        <f>Table13[[#This Row],[Staff Delta]]</f>
        <v>0</v>
      </c>
      <c r="G438" s="93" t="str">
        <f>Table13[[#This Row],[Economic Sector]]</f>
        <v>Arts, entertainment and recreation</v>
      </c>
    </row>
    <row r="439" spans="1:7">
      <c r="A439" s="20" t="str">
        <f>Table13[[#This Row],[Governorate]]</f>
        <v>Karak</v>
      </c>
      <c r="B439" s="82">
        <f t="shared" si="12"/>
        <v>1</v>
      </c>
      <c r="C439" s="82">
        <v>0</v>
      </c>
      <c r="D439" s="82">
        <f>Table13[[#This Row],[Women-led]]</f>
        <v>1</v>
      </c>
      <c r="E439" s="83">
        <f t="shared" si="13"/>
        <v>1</v>
      </c>
      <c r="F439" s="92">
        <f>Table13[[#This Row],[Staff Delta]]</f>
        <v>1</v>
      </c>
      <c r="G439" s="93" t="str">
        <f>Table13[[#This Row],[Economic Sector]]</f>
        <v>Manufacturing</v>
      </c>
    </row>
    <row r="440" spans="1:7">
      <c r="A440" s="20" t="str">
        <f>Table13[[#This Row],[Governorate]]</f>
        <v>Karak</v>
      </c>
      <c r="B440" s="82">
        <f t="shared" si="12"/>
        <v>1</v>
      </c>
      <c r="C440" s="82">
        <v>0</v>
      </c>
      <c r="D440" s="82">
        <f>Table13[[#This Row],[Women-led]]</f>
        <v>1</v>
      </c>
      <c r="E440" s="83">
        <f t="shared" si="13"/>
        <v>1</v>
      </c>
      <c r="F440" s="92">
        <f>Table13[[#This Row],[Staff Delta]]</f>
        <v>0</v>
      </c>
      <c r="G440" s="93" t="str">
        <f>Table13[[#This Row],[Economic Sector]]</f>
        <v>Manufacturing</v>
      </c>
    </row>
    <row r="441" spans="1:7">
      <c r="A441" s="20" t="str">
        <f>Table13[[#This Row],[Governorate]]</f>
        <v>Karak</v>
      </c>
      <c r="B441" s="82">
        <f t="shared" si="12"/>
        <v>1</v>
      </c>
      <c r="C441" s="82">
        <v>0</v>
      </c>
      <c r="D441" s="82">
        <f>Table13[[#This Row],[Women-led]]</f>
        <v>1</v>
      </c>
      <c r="E441" s="83">
        <f t="shared" si="13"/>
        <v>1</v>
      </c>
      <c r="F441" s="92">
        <f>Table13[[#This Row],[Staff Delta]]</f>
        <v>0</v>
      </c>
      <c r="G441" s="93" t="str">
        <f>Table13[[#This Row],[Economic Sector]]</f>
        <v>Education</v>
      </c>
    </row>
    <row r="442" spans="1:7">
      <c r="A442" s="20" t="str">
        <f>Table13[[#This Row],[Governorate]]</f>
        <v>Karak</v>
      </c>
      <c r="B442" s="82">
        <f t="shared" si="12"/>
        <v>1</v>
      </c>
      <c r="C442" s="82">
        <v>0</v>
      </c>
      <c r="D442" s="82">
        <f>Table13[[#This Row],[Women-led]]</f>
        <v>1</v>
      </c>
      <c r="E442" s="83">
        <f t="shared" si="13"/>
        <v>1</v>
      </c>
      <c r="F442" s="92">
        <f>Table13[[#This Row],[Staff Delta]]</f>
        <v>2</v>
      </c>
      <c r="G442" s="93" t="str">
        <f>Table13[[#This Row],[Economic Sector]]</f>
        <v>Manufacturing</v>
      </c>
    </row>
    <row r="443" spans="1:7">
      <c r="A443" s="20" t="str">
        <f>Table13[[#This Row],[Governorate]]</f>
        <v>Karak</v>
      </c>
      <c r="B443" s="82">
        <f t="shared" si="12"/>
        <v>1</v>
      </c>
      <c r="C443" s="82">
        <v>0</v>
      </c>
      <c r="D443" s="82">
        <f>Table13[[#This Row],[Women-led]]</f>
        <v>1</v>
      </c>
      <c r="E443" s="83">
        <f t="shared" si="13"/>
        <v>1</v>
      </c>
      <c r="F443" s="92">
        <f>Table13[[#This Row],[Staff Delta]]</f>
        <v>0</v>
      </c>
      <c r="G443" s="93" t="str">
        <f>Table13[[#This Row],[Economic Sector]]</f>
        <v>Manufacturing</v>
      </c>
    </row>
    <row r="444" spans="1:7">
      <c r="A444" s="20" t="str">
        <f>Table13[[#This Row],[Governorate]]</f>
        <v>Karak</v>
      </c>
      <c r="B444" s="82">
        <f t="shared" si="12"/>
        <v>1</v>
      </c>
      <c r="C444" s="82">
        <v>0</v>
      </c>
      <c r="D444" s="82">
        <f>Table13[[#This Row],[Women-led]]</f>
        <v>1</v>
      </c>
      <c r="E444" s="83">
        <f t="shared" si="13"/>
        <v>1</v>
      </c>
      <c r="F444" s="92">
        <f>Table13[[#This Row],[Staff Delta]]</f>
        <v>3</v>
      </c>
      <c r="G444" s="93" t="str">
        <f>Table13[[#This Row],[Economic Sector]]</f>
        <v>Arts, entertainment and recreation</v>
      </c>
    </row>
    <row r="445" spans="1:7">
      <c r="A445" s="20" t="str">
        <f>Table13[[#This Row],[Governorate]]</f>
        <v>Karak</v>
      </c>
      <c r="B445" s="82">
        <f t="shared" si="12"/>
        <v>1</v>
      </c>
      <c r="C445" s="82">
        <v>0</v>
      </c>
      <c r="D445" s="82">
        <f>Table13[[#This Row],[Women-led]]</f>
        <v>1</v>
      </c>
      <c r="E445" s="83">
        <f t="shared" si="13"/>
        <v>1</v>
      </c>
      <c r="F445" s="92">
        <f>Table13[[#This Row],[Staff Delta]]</f>
        <v>2</v>
      </c>
      <c r="G445" s="93" t="str">
        <f>Table13[[#This Row],[Economic Sector]]</f>
        <v>Manufacturing</v>
      </c>
    </row>
    <row r="446" spans="1:7">
      <c r="A446" s="20" t="str">
        <f>Table13[[#This Row],[Governorate]]</f>
        <v>Karak</v>
      </c>
      <c r="B446" s="82">
        <f t="shared" si="12"/>
        <v>1</v>
      </c>
      <c r="C446" s="82">
        <v>1</v>
      </c>
      <c r="D446" s="82">
        <f>Table13[[#This Row],[Women-led]]</f>
        <v>0</v>
      </c>
      <c r="E446" s="83">
        <f t="shared" si="13"/>
        <v>0</v>
      </c>
      <c r="F446" s="92">
        <f>Table13[[#This Row],[Staff Delta]]</f>
        <v>1</v>
      </c>
      <c r="G446" s="93" t="str">
        <f>Table13[[#This Row],[Economic Sector]]</f>
        <v>Manufacturing</v>
      </c>
    </row>
    <row r="447" spans="1:7">
      <c r="A447" s="20" t="str">
        <f>Table13[[#This Row],[Governorate]]</f>
        <v>Karak</v>
      </c>
      <c r="B447" s="82">
        <f t="shared" si="12"/>
        <v>1</v>
      </c>
      <c r="C447" s="82">
        <v>1</v>
      </c>
      <c r="D447" s="82">
        <f>Table13[[#This Row],[Women-led]]</f>
        <v>0</v>
      </c>
      <c r="E447" s="83">
        <f t="shared" si="13"/>
        <v>0</v>
      </c>
      <c r="F447" s="92">
        <f>Table13[[#This Row],[Staff Delta]]</f>
        <v>5</v>
      </c>
      <c r="G447" s="93" t="str">
        <f>Table13[[#This Row],[Economic Sector]]</f>
        <v>Education</v>
      </c>
    </row>
    <row r="448" spans="1:7">
      <c r="A448" s="20" t="str">
        <f>Table13[[#This Row],[Governorate]]</f>
        <v>Karak</v>
      </c>
      <c r="B448" s="82">
        <f t="shared" si="12"/>
        <v>1</v>
      </c>
      <c r="C448" s="82">
        <v>1</v>
      </c>
      <c r="D448" s="82">
        <f>Table13[[#This Row],[Women-led]]</f>
        <v>0</v>
      </c>
      <c r="E448" s="83">
        <f t="shared" si="13"/>
        <v>0</v>
      </c>
      <c r="F448" s="92">
        <f>Table13[[#This Row],[Staff Delta]]</f>
        <v>0</v>
      </c>
      <c r="G448" s="93" t="str">
        <f>Table13[[#This Row],[Economic Sector]]</f>
        <v>Transportation and storage</v>
      </c>
    </row>
    <row r="449" spans="1:7">
      <c r="A449" s="20" t="str">
        <f>Table13[[#This Row],[Governorate]]</f>
        <v>Karak</v>
      </c>
      <c r="B449" s="82">
        <f t="shared" si="12"/>
        <v>1</v>
      </c>
      <c r="C449" s="82">
        <v>1</v>
      </c>
      <c r="D449" s="82">
        <f>Table13[[#This Row],[Women-led]]</f>
        <v>0</v>
      </c>
      <c r="E449" s="83">
        <f t="shared" si="13"/>
        <v>0</v>
      </c>
      <c r="F449" s="92">
        <f>Table13[[#This Row],[Staff Delta]]</f>
        <v>1</v>
      </c>
      <c r="G449" s="93" t="str">
        <f>Table13[[#This Row],[Economic Sector]]</f>
        <v>Education</v>
      </c>
    </row>
    <row r="450" spans="1:7">
      <c r="A450" s="20" t="str">
        <f>Table13[[#This Row],[Governorate]]</f>
        <v>Karak</v>
      </c>
      <c r="B450" s="82">
        <f t="shared" si="12"/>
        <v>1</v>
      </c>
      <c r="C450" s="82">
        <v>1</v>
      </c>
      <c r="D450" s="82">
        <f>Table13[[#This Row],[Women-led]]</f>
        <v>0</v>
      </c>
      <c r="E450" s="83">
        <f t="shared" si="13"/>
        <v>0</v>
      </c>
      <c r="F450" s="92">
        <f>Table13[[#This Row],[Staff Delta]]</f>
        <v>1</v>
      </c>
      <c r="G450" s="93" t="str">
        <f>Table13[[#This Row],[Economic Sector]]</f>
        <v>Information and communication</v>
      </c>
    </row>
    <row r="451" spans="1:7">
      <c r="A451" s="20" t="str">
        <f>Table13[[#This Row],[Governorate]]</f>
        <v>Karak</v>
      </c>
      <c r="B451" s="82">
        <f t="shared" si="12"/>
        <v>1</v>
      </c>
      <c r="C451" s="82">
        <v>1</v>
      </c>
      <c r="D451" s="82">
        <f>Table13[[#This Row],[Women-led]]</f>
        <v>0</v>
      </c>
      <c r="E451" s="83">
        <f t="shared" si="13"/>
        <v>0</v>
      </c>
      <c r="F451" s="92">
        <f>Table13[[#This Row],[Staff Delta]]</f>
        <v>1</v>
      </c>
      <c r="G451" s="93" t="str">
        <f>Table13[[#This Row],[Economic Sector]]</f>
        <v>Agriculture, forestry and fishing</v>
      </c>
    </row>
    <row r="452" spans="1:7">
      <c r="A452" s="20" t="str">
        <f>Table13[[#This Row],[Governorate]]</f>
        <v>Karak</v>
      </c>
      <c r="B452" s="82">
        <f t="shared" si="12"/>
        <v>1</v>
      </c>
      <c r="C452" s="82">
        <v>1</v>
      </c>
      <c r="D452" s="82">
        <f>Table13[[#This Row],[Women-led]]</f>
        <v>0</v>
      </c>
      <c r="E452" s="83">
        <f t="shared" si="13"/>
        <v>0</v>
      </c>
      <c r="F452" s="92">
        <f>Table13[[#This Row],[Staff Delta]]</f>
        <v>2</v>
      </c>
      <c r="G452" s="93" t="str">
        <f>Table13[[#This Row],[Economic Sector]]</f>
        <v>Wholesale and retail trade; repair of motor vehicles and motorcycles</v>
      </c>
    </row>
    <row r="453" spans="1:7">
      <c r="A453" s="20" t="str">
        <f>Table13[[#This Row],[Governorate]]</f>
        <v>Karak</v>
      </c>
      <c r="B453" s="82">
        <f t="shared" si="12"/>
        <v>1</v>
      </c>
      <c r="C453" s="82">
        <v>0</v>
      </c>
      <c r="D453" s="82">
        <f>Table13[[#This Row],[Women-led]]</f>
        <v>1</v>
      </c>
      <c r="E453" s="83">
        <f t="shared" si="13"/>
        <v>1</v>
      </c>
      <c r="F453" s="92">
        <f>Table13[[#This Row],[Staff Delta]]</f>
        <v>0</v>
      </c>
      <c r="G453" s="93" t="str">
        <f>Table13[[#This Row],[Economic Sector]]</f>
        <v>Agriculture, forestry and fishing</v>
      </c>
    </row>
    <row r="454" spans="1:7">
      <c r="A454" s="20" t="str">
        <f>Table13[[#This Row],[Governorate]]</f>
        <v>Karak</v>
      </c>
      <c r="B454" s="82">
        <f t="shared" ref="B454:B517" si="14">C454+D454</f>
        <v>1</v>
      </c>
      <c r="C454" s="82">
        <v>1</v>
      </c>
      <c r="D454" s="82">
        <f>Table13[[#This Row],[Women-led]]</f>
        <v>0</v>
      </c>
      <c r="E454" s="83">
        <f t="shared" ref="E454:E517" si="15">IF(OR(B454="",D454=""),"",IFERROR(D454/B454,""))</f>
        <v>0</v>
      </c>
      <c r="F454" s="92">
        <f>Table13[[#This Row],[Staff Delta]]</f>
        <v>3</v>
      </c>
      <c r="G454" s="93" t="str">
        <f>Table13[[#This Row],[Economic Sector]]</f>
        <v>Manufacturing</v>
      </c>
    </row>
    <row r="455" spans="1:7">
      <c r="A455" s="20" t="str">
        <f>Table13[[#This Row],[Governorate]]</f>
        <v>Karak</v>
      </c>
      <c r="B455" s="82">
        <f t="shared" si="14"/>
        <v>1</v>
      </c>
      <c r="C455" s="82">
        <v>0</v>
      </c>
      <c r="D455" s="82">
        <f>Table13[[#This Row],[Women-led]]</f>
        <v>1</v>
      </c>
      <c r="E455" s="83">
        <f t="shared" si="15"/>
        <v>1</v>
      </c>
      <c r="F455" s="92">
        <f>Table13[[#This Row],[Staff Delta]]</f>
        <v>3</v>
      </c>
      <c r="G455" s="93" t="str">
        <f>Table13[[#This Row],[Economic Sector]]</f>
        <v>Human health and social work activities</v>
      </c>
    </row>
    <row r="456" spans="1:7">
      <c r="A456" s="20" t="str">
        <f>Table13[[#This Row],[Governorate]]</f>
        <v>Karak</v>
      </c>
      <c r="B456" s="82">
        <f t="shared" si="14"/>
        <v>1</v>
      </c>
      <c r="C456" s="82">
        <v>0</v>
      </c>
      <c r="D456" s="82">
        <f>Table13[[#This Row],[Women-led]]</f>
        <v>1</v>
      </c>
      <c r="E456" s="83">
        <f t="shared" si="15"/>
        <v>1</v>
      </c>
      <c r="F456" s="92">
        <f>Table13[[#This Row],[Staff Delta]]</f>
        <v>3</v>
      </c>
      <c r="G456" s="93" t="str">
        <f>Table13[[#This Row],[Economic Sector]]</f>
        <v>Education</v>
      </c>
    </row>
    <row r="457" spans="1:7">
      <c r="A457" s="20" t="str">
        <f>Table13[[#This Row],[Governorate]]</f>
        <v>Karak</v>
      </c>
      <c r="B457" s="82">
        <f t="shared" si="14"/>
        <v>1</v>
      </c>
      <c r="C457" s="82">
        <v>1</v>
      </c>
      <c r="D457" s="82">
        <f>Table13[[#This Row],[Women-led]]</f>
        <v>0</v>
      </c>
      <c r="E457" s="83">
        <f t="shared" si="15"/>
        <v>0</v>
      </c>
      <c r="F457" s="92">
        <f>Table13[[#This Row],[Staff Delta]]</f>
        <v>2</v>
      </c>
      <c r="G457" s="93" t="str">
        <f>Table13[[#This Row],[Economic Sector]]</f>
        <v>Administrative and support service activities</v>
      </c>
    </row>
    <row r="458" spans="1:7">
      <c r="A458" s="20" t="str">
        <f>Table13[[#This Row],[Governorate]]</f>
        <v>Karak</v>
      </c>
      <c r="B458" s="82">
        <f t="shared" si="14"/>
        <v>1</v>
      </c>
      <c r="C458" s="82">
        <v>1</v>
      </c>
      <c r="D458" s="82">
        <f>Table13[[#This Row],[Women-led]]</f>
        <v>0</v>
      </c>
      <c r="E458" s="83">
        <f t="shared" si="15"/>
        <v>0</v>
      </c>
      <c r="F458" s="92">
        <f>Table13[[#This Row],[Staff Delta]]</f>
        <v>13</v>
      </c>
      <c r="G458" s="93" t="str">
        <f>Table13[[#This Row],[Economic Sector]]</f>
        <v>Water supply; sewerage, waste management and remediation activities</v>
      </c>
    </row>
    <row r="459" spans="1:7">
      <c r="A459" s="20" t="str">
        <f>Table13[[#This Row],[Governorate]]</f>
        <v>Karak</v>
      </c>
      <c r="B459" s="82">
        <f t="shared" si="14"/>
        <v>1</v>
      </c>
      <c r="C459" s="82">
        <v>0</v>
      </c>
      <c r="D459" s="82">
        <f>Table13[[#This Row],[Women-led]]</f>
        <v>1</v>
      </c>
      <c r="E459" s="83">
        <f t="shared" si="15"/>
        <v>1</v>
      </c>
      <c r="F459" s="92">
        <f>Table13[[#This Row],[Staff Delta]]</f>
        <v>5</v>
      </c>
      <c r="G459" s="93" t="str">
        <f>Table13[[#This Row],[Economic Sector]]</f>
        <v>Agriculture, forestry and fishing</v>
      </c>
    </row>
    <row r="460" spans="1:7">
      <c r="A460" s="20" t="str">
        <f>Table13[[#This Row],[Governorate]]</f>
        <v>Karak</v>
      </c>
      <c r="B460" s="82">
        <f t="shared" si="14"/>
        <v>1</v>
      </c>
      <c r="C460" s="82">
        <v>1</v>
      </c>
      <c r="D460" s="82">
        <f>Table13[[#This Row],[Women-led]]</f>
        <v>0</v>
      </c>
      <c r="E460" s="83">
        <f t="shared" si="15"/>
        <v>0</v>
      </c>
      <c r="F460" s="92">
        <f>Table13[[#This Row],[Staff Delta]]</f>
        <v>9</v>
      </c>
      <c r="G460" s="93" t="str">
        <f>Table13[[#This Row],[Economic Sector]]</f>
        <v>Education</v>
      </c>
    </row>
    <row r="461" spans="1:7">
      <c r="A461" s="20" t="str">
        <f>Table13[[#This Row],[Governorate]]</f>
        <v>Karak</v>
      </c>
      <c r="B461" s="82">
        <f t="shared" si="14"/>
        <v>1</v>
      </c>
      <c r="C461" s="82">
        <v>0</v>
      </c>
      <c r="D461" s="82">
        <f>Table13[[#This Row],[Women-led]]</f>
        <v>1</v>
      </c>
      <c r="E461" s="83">
        <f t="shared" si="15"/>
        <v>1</v>
      </c>
      <c r="F461" s="92">
        <f>Table13[[#This Row],[Staff Delta]]</f>
        <v>0</v>
      </c>
      <c r="G461" s="93" t="str">
        <f>Table13[[#This Row],[Economic Sector]]</f>
        <v>Manufacturing</v>
      </c>
    </row>
    <row r="462" spans="1:7">
      <c r="A462" s="20" t="str">
        <f>Table13[[#This Row],[Governorate]]</f>
        <v>Karak</v>
      </c>
      <c r="B462" s="82">
        <f t="shared" si="14"/>
        <v>1</v>
      </c>
      <c r="C462" s="82">
        <v>0</v>
      </c>
      <c r="D462" s="82">
        <f>Table13[[#This Row],[Women-led]]</f>
        <v>1</v>
      </c>
      <c r="E462" s="83">
        <f t="shared" si="15"/>
        <v>1</v>
      </c>
      <c r="F462" s="92">
        <f>Table13[[#This Row],[Staff Delta]]</f>
        <v>0</v>
      </c>
      <c r="G462" s="93" t="str">
        <f>Table13[[#This Row],[Economic Sector]]</f>
        <v>Professional, scientific and technical activities</v>
      </c>
    </row>
    <row r="463" spans="1:7">
      <c r="A463" s="20" t="str">
        <f>Table13[[#This Row],[Governorate]]</f>
        <v>Karak</v>
      </c>
      <c r="B463" s="82">
        <f t="shared" si="14"/>
        <v>1</v>
      </c>
      <c r="C463" s="82">
        <v>0</v>
      </c>
      <c r="D463" s="82">
        <f>Table13[[#This Row],[Women-led]]</f>
        <v>1</v>
      </c>
      <c r="E463" s="83">
        <f t="shared" si="15"/>
        <v>1</v>
      </c>
      <c r="F463" s="92">
        <f>Table13[[#This Row],[Staff Delta]]</f>
        <v>1</v>
      </c>
      <c r="G463" s="93" t="str">
        <f>Table13[[#This Row],[Economic Sector]]</f>
        <v>Manufacturing</v>
      </c>
    </row>
    <row r="464" spans="1:7">
      <c r="A464" s="20" t="str">
        <f>Table13[[#This Row],[Governorate]]</f>
        <v>Karak</v>
      </c>
      <c r="B464" s="82">
        <f t="shared" si="14"/>
        <v>1</v>
      </c>
      <c r="C464" s="82">
        <v>0</v>
      </c>
      <c r="D464" s="82">
        <f>Table13[[#This Row],[Women-led]]</f>
        <v>1</v>
      </c>
      <c r="E464" s="83">
        <f t="shared" si="15"/>
        <v>1</v>
      </c>
      <c r="F464" s="92">
        <f>Table13[[#This Row],[Staff Delta]]</f>
        <v>0</v>
      </c>
      <c r="G464" s="93" t="str">
        <f>Table13[[#This Row],[Economic Sector]]</f>
        <v>Education</v>
      </c>
    </row>
    <row r="465" spans="1:7">
      <c r="A465" s="20" t="str">
        <f>Table13[[#This Row],[Governorate]]</f>
        <v>Karak</v>
      </c>
      <c r="B465" s="82">
        <f t="shared" si="14"/>
        <v>1</v>
      </c>
      <c r="C465" s="82">
        <v>0</v>
      </c>
      <c r="D465" s="82">
        <f>Table13[[#This Row],[Women-led]]</f>
        <v>1</v>
      </c>
      <c r="E465" s="83">
        <f t="shared" si="15"/>
        <v>1</v>
      </c>
      <c r="F465" s="92">
        <f>Table13[[#This Row],[Staff Delta]]</f>
        <v>0</v>
      </c>
      <c r="G465" s="93" t="str">
        <f>Table13[[#This Row],[Economic Sector]]</f>
        <v>Manufacturing</v>
      </c>
    </row>
    <row r="466" spans="1:7">
      <c r="A466" s="20" t="str">
        <f>Table13[[#This Row],[Governorate]]</f>
        <v>Karak</v>
      </c>
      <c r="B466" s="82">
        <f t="shared" si="14"/>
        <v>1</v>
      </c>
      <c r="C466" s="82">
        <v>0</v>
      </c>
      <c r="D466" s="82">
        <f>Table13[[#This Row],[Women-led]]</f>
        <v>1</v>
      </c>
      <c r="E466" s="83">
        <f t="shared" si="15"/>
        <v>1</v>
      </c>
      <c r="F466" s="92">
        <f>Table13[[#This Row],[Staff Delta]]</f>
        <v>0</v>
      </c>
      <c r="G466" s="93" t="str">
        <f>Table13[[#This Row],[Economic Sector]]</f>
        <v>Arts, entertainment and recreation</v>
      </c>
    </row>
    <row r="467" spans="1:7">
      <c r="A467" s="20" t="str">
        <f>Table13[[#This Row],[Governorate]]</f>
        <v>Karak</v>
      </c>
      <c r="B467" s="82">
        <f t="shared" si="14"/>
        <v>1</v>
      </c>
      <c r="C467" s="82">
        <v>1</v>
      </c>
      <c r="D467" s="82">
        <f>Table13[[#This Row],[Women-led]]</f>
        <v>0</v>
      </c>
      <c r="E467" s="83">
        <f t="shared" si="15"/>
        <v>0</v>
      </c>
      <c r="F467" s="92">
        <f>Table13[[#This Row],[Staff Delta]]</f>
        <v>11</v>
      </c>
      <c r="G467" s="93" t="str">
        <f>Table13[[#This Row],[Economic Sector]]</f>
        <v>Information and communication</v>
      </c>
    </row>
    <row r="468" spans="1:7">
      <c r="A468" s="20" t="str">
        <f>Table13[[#This Row],[Governorate]]</f>
        <v>Karak</v>
      </c>
      <c r="B468" s="82">
        <f t="shared" si="14"/>
        <v>1</v>
      </c>
      <c r="C468" s="82">
        <v>0</v>
      </c>
      <c r="D468" s="82">
        <f>Table13[[#This Row],[Women-led]]</f>
        <v>1</v>
      </c>
      <c r="E468" s="83">
        <f t="shared" si="15"/>
        <v>1</v>
      </c>
      <c r="F468" s="92">
        <f>Table13[[#This Row],[Staff Delta]]</f>
        <v>3</v>
      </c>
      <c r="G468" s="93" t="str">
        <f>Table13[[#This Row],[Economic Sector]]</f>
        <v>Manufacturing</v>
      </c>
    </row>
    <row r="469" spans="1:7">
      <c r="A469" s="20" t="str">
        <f>Table13[[#This Row],[Governorate]]</f>
        <v>Karak</v>
      </c>
      <c r="B469" s="82">
        <f t="shared" si="14"/>
        <v>1</v>
      </c>
      <c r="C469" s="82">
        <v>0</v>
      </c>
      <c r="D469" s="82">
        <f>Table13[[#This Row],[Women-led]]</f>
        <v>1</v>
      </c>
      <c r="E469" s="83">
        <f t="shared" si="15"/>
        <v>1</v>
      </c>
      <c r="F469" s="92">
        <f>Table13[[#This Row],[Staff Delta]]</f>
        <v>0</v>
      </c>
      <c r="G469" s="93" t="str">
        <f>Table13[[#This Row],[Economic Sector]]</f>
        <v>Manufacturing</v>
      </c>
    </row>
    <row r="470" spans="1:7">
      <c r="A470" s="20" t="str">
        <f>Table13[[#This Row],[Governorate]]</f>
        <v>Karak</v>
      </c>
      <c r="B470" s="82">
        <f t="shared" si="14"/>
        <v>1</v>
      </c>
      <c r="C470" s="82">
        <v>1</v>
      </c>
      <c r="D470" s="82">
        <f>Table13[[#This Row],[Women-led]]</f>
        <v>0</v>
      </c>
      <c r="E470" s="83">
        <f t="shared" si="15"/>
        <v>0</v>
      </c>
      <c r="F470" s="92">
        <f>Table13[[#This Row],[Staff Delta]]</f>
        <v>0</v>
      </c>
      <c r="G470" s="93" t="str">
        <f>Table13[[#This Row],[Economic Sector]]</f>
        <v>Information and communication</v>
      </c>
    </row>
    <row r="471" spans="1:7">
      <c r="A471" s="20" t="str">
        <f>Table13[[#This Row],[Governorate]]</f>
        <v>Karak</v>
      </c>
      <c r="B471" s="82">
        <f t="shared" si="14"/>
        <v>1</v>
      </c>
      <c r="C471" s="82">
        <v>1</v>
      </c>
      <c r="D471" s="82">
        <f>Table13[[#This Row],[Women-led]]</f>
        <v>0</v>
      </c>
      <c r="E471" s="83">
        <f t="shared" si="15"/>
        <v>0</v>
      </c>
      <c r="F471" s="92">
        <f>Table13[[#This Row],[Staff Delta]]</f>
        <v>0</v>
      </c>
      <c r="G471" s="93" t="str">
        <f>Table13[[#This Row],[Economic Sector]]</f>
        <v>Education</v>
      </c>
    </row>
    <row r="472" spans="1:7">
      <c r="A472" s="20" t="str">
        <f>Table13[[#This Row],[Governorate]]</f>
        <v>Karak</v>
      </c>
      <c r="B472" s="82">
        <f t="shared" si="14"/>
        <v>1</v>
      </c>
      <c r="C472" s="82">
        <v>0</v>
      </c>
      <c r="D472" s="82">
        <f>Table13[[#This Row],[Women-led]]</f>
        <v>1</v>
      </c>
      <c r="E472" s="83">
        <f t="shared" si="15"/>
        <v>1</v>
      </c>
      <c r="F472" s="92">
        <f>Table13[[#This Row],[Staff Delta]]</f>
        <v>0</v>
      </c>
      <c r="G472" s="93" t="str">
        <f>Table13[[#This Row],[Economic Sector]]</f>
        <v>Water supply; sewerage, waste management and remediation activities</v>
      </c>
    </row>
    <row r="473" spans="1:7">
      <c r="A473" s="20" t="str">
        <f>Table13[[#This Row],[Governorate]]</f>
        <v>Karak</v>
      </c>
      <c r="B473" s="82">
        <f t="shared" si="14"/>
        <v>1</v>
      </c>
      <c r="C473" s="82">
        <v>1</v>
      </c>
      <c r="D473" s="82">
        <f>Table13[[#This Row],[Women-led]]</f>
        <v>0</v>
      </c>
      <c r="E473" s="83">
        <f t="shared" si="15"/>
        <v>0</v>
      </c>
      <c r="F473" s="92">
        <f>Table13[[#This Row],[Staff Delta]]</f>
        <v>0</v>
      </c>
      <c r="G473" s="93" t="str">
        <f>Table13[[#This Row],[Economic Sector]]</f>
        <v>Manufacturing</v>
      </c>
    </row>
    <row r="474" spans="1:7">
      <c r="A474" s="20" t="str">
        <f>Table13[[#This Row],[Governorate]]</f>
        <v>Karak</v>
      </c>
      <c r="B474" s="82">
        <f t="shared" si="14"/>
        <v>1</v>
      </c>
      <c r="C474" s="82">
        <v>0</v>
      </c>
      <c r="D474" s="82">
        <f>Table13[[#This Row],[Women-led]]</f>
        <v>1</v>
      </c>
      <c r="E474" s="83">
        <f t="shared" si="15"/>
        <v>1</v>
      </c>
      <c r="F474" s="92">
        <f>Table13[[#This Row],[Staff Delta]]</f>
        <v>0</v>
      </c>
      <c r="G474" s="93">
        <f>Table13[[#This Row],[Economic Sector]]</f>
        <v>0</v>
      </c>
    </row>
    <row r="475" spans="1:7">
      <c r="A475" s="20" t="str">
        <f>Table13[[#This Row],[Governorate]]</f>
        <v>Karak</v>
      </c>
      <c r="B475" s="82">
        <f t="shared" si="14"/>
        <v>1</v>
      </c>
      <c r="C475" s="82">
        <v>0</v>
      </c>
      <c r="D475" s="82">
        <f>Table13[[#This Row],[Women-led]]</f>
        <v>1</v>
      </c>
      <c r="E475" s="83">
        <f t="shared" si="15"/>
        <v>1</v>
      </c>
      <c r="F475" s="92">
        <f>Table13[[#This Row],[Staff Delta]]</f>
        <v>0</v>
      </c>
      <c r="G475" s="93" t="str">
        <f>Table13[[#This Row],[Economic Sector]]</f>
        <v>Human health and social work activities</v>
      </c>
    </row>
    <row r="476" spans="1:7">
      <c r="A476" s="20" t="str">
        <f>Table13[[#This Row],[Governorate]]</f>
        <v>Karak</v>
      </c>
      <c r="B476" s="82">
        <f t="shared" si="14"/>
        <v>1</v>
      </c>
      <c r="C476" s="82">
        <v>0</v>
      </c>
      <c r="D476" s="82">
        <f>Table13[[#This Row],[Women-led]]</f>
        <v>1</v>
      </c>
      <c r="E476" s="83">
        <f t="shared" si="15"/>
        <v>1</v>
      </c>
      <c r="F476" s="92">
        <f>Table13[[#This Row],[Staff Delta]]</f>
        <v>1</v>
      </c>
      <c r="G476" s="93" t="str">
        <f>Table13[[#This Row],[Economic Sector]]</f>
        <v>Manufacturing</v>
      </c>
    </row>
    <row r="477" spans="1:7">
      <c r="A477" s="20" t="str">
        <f>Table13[[#This Row],[Governorate]]</f>
        <v>Karak</v>
      </c>
      <c r="B477" s="82">
        <f t="shared" si="14"/>
        <v>1</v>
      </c>
      <c r="C477" s="82">
        <v>1</v>
      </c>
      <c r="D477" s="82">
        <f>Table13[[#This Row],[Women-led]]</f>
        <v>0</v>
      </c>
      <c r="E477" s="83">
        <f t="shared" si="15"/>
        <v>0</v>
      </c>
      <c r="F477" s="92">
        <f>Table13[[#This Row],[Staff Delta]]</f>
        <v>0</v>
      </c>
      <c r="G477" s="93" t="str">
        <f>Table13[[#This Row],[Economic Sector]]</f>
        <v>Manufacturing</v>
      </c>
    </row>
    <row r="478" spans="1:7">
      <c r="A478" s="20" t="str">
        <f>Table13[[#This Row],[Governorate]]</f>
        <v>Karak</v>
      </c>
      <c r="B478" s="82">
        <f t="shared" si="14"/>
        <v>1</v>
      </c>
      <c r="C478" s="82">
        <v>0</v>
      </c>
      <c r="D478" s="82">
        <f>Table13[[#This Row],[Women-led]]</f>
        <v>1</v>
      </c>
      <c r="E478" s="83">
        <f t="shared" si="15"/>
        <v>1</v>
      </c>
      <c r="F478" s="92">
        <f>Table13[[#This Row],[Staff Delta]]</f>
        <v>1</v>
      </c>
      <c r="G478" s="93" t="str">
        <f>Table13[[#This Row],[Economic Sector]]</f>
        <v>Education</v>
      </c>
    </row>
    <row r="479" spans="1:7">
      <c r="A479" s="20" t="str">
        <f>Table13[[#This Row],[Governorate]]</f>
        <v>Karak</v>
      </c>
      <c r="B479" s="82">
        <f t="shared" si="14"/>
        <v>1</v>
      </c>
      <c r="C479" s="82">
        <v>0</v>
      </c>
      <c r="D479" s="82">
        <f>Table13[[#This Row],[Women-led]]</f>
        <v>1</v>
      </c>
      <c r="E479" s="83">
        <f t="shared" si="15"/>
        <v>1</v>
      </c>
      <c r="F479" s="92">
        <f>Table13[[#This Row],[Staff Delta]]</f>
        <v>0</v>
      </c>
      <c r="G479" s="93" t="str">
        <f>Table13[[#This Row],[Economic Sector]]</f>
        <v>Manufacturing</v>
      </c>
    </row>
    <row r="480" spans="1:7">
      <c r="A480" s="20" t="str">
        <f>Table13[[#This Row],[Governorate]]</f>
        <v>Karak</v>
      </c>
      <c r="B480" s="82">
        <f t="shared" si="14"/>
        <v>1</v>
      </c>
      <c r="C480" s="82">
        <v>1</v>
      </c>
      <c r="D480" s="82">
        <f>Table13[[#This Row],[Women-led]]</f>
        <v>0</v>
      </c>
      <c r="E480" s="83">
        <f t="shared" si="15"/>
        <v>0</v>
      </c>
      <c r="F480" s="92">
        <f>Table13[[#This Row],[Staff Delta]]</f>
        <v>0</v>
      </c>
      <c r="G480" s="93" t="str">
        <f>Table13[[#This Row],[Economic Sector]]</f>
        <v>Professional, scientific and technical activities</v>
      </c>
    </row>
    <row r="481" spans="1:7">
      <c r="A481" s="20" t="str">
        <f>Table13[[#This Row],[Governorate]]</f>
        <v>Karak</v>
      </c>
      <c r="B481" s="82">
        <f t="shared" si="14"/>
        <v>1</v>
      </c>
      <c r="C481" s="82">
        <v>1</v>
      </c>
      <c r="D481" s="82">
        <f>Table13[[#This Row],[Women-led]]</f>
        <v>0</v>
      </c>
      <c r="E481" s="83">
        <f t="shared" si="15"/>
        <v>0</v>
      </c>
      <c r="F481" s="92">
        <f>Table13[[#This Row],[Staff Delta]]</f>
        <v>0</v>
      </c>
      <c r="G481" s="93" t="str">
        <f>Table13[[#This Row],[Economic Sector]]</f>
        <v>Professional, scientific and technical activities</v>
      </c>
    </row>
    <row r="482" spans="1:7">
      <c r="A482" s="20" t="str">
        <f>Table13[[#This Row],[Governorate]]</f>
        <v>Karak</v>
      </c>
      <c r="B482" s="82">
        <f t="shared" si="14"/>
        <v>1</v>
      </c>
      <c r="C482" s="82">
        <v>1</v>
      </c>
      <c r="D482" s="82">
        <f>Table13[[#This Row],[Women-led]]</f>
        <v>0</v>
      </c>
      <c r="E482" s="83">
        <f t="shared" si="15"/>
        <v>0</v>
      </c>
      <c r="F482" s="92">
        <f>Table13[[#This Row],[Staff Delta]]</f>
        <v>0</v>
      </c>
      <c r="G482" s="93" t="str">
        <f>Table13[[#This Row],[Economic Sector]]</f>
        <v>Professional, scientific and technical activities</v>
      </c>
    </row>
    <row r="483" spans="1:7">
      <c r="A483" s="20" t="str">
        <f>Table13[[#This Row],[Governorate]]</f>
        <v>Karak</v>
      </c>
      <c r="B483" s="82">
        <f t="shared" si="14"/>
        <v>1</v>
      </c>
      <c r="C483" s="82">
        <v>1</v>
      </c>
      <c r="D483" s="82">
        <f>Table13[[#This Row],[Women-led]]</f>
        <v>0</v>
      </c>
      <c r="E483" s="83">
        <f t="shared" si="15"/>
        <v>0</v>
      </c>
      <c r="F483" s="92">
        <f>Table13[[#This Row],[Staff Delta]]</f>
        <v>0</v>
      </c>
      <c r="G483" s="93" t="str">
        <f>Table13[[#This Row],[Economic Sector]]</f>
        <v>Manufacturing</v>
      </c>
    </row>
    <row r="484" spans="1:7">
      <c r="A484" s="20" t="str">
        <f>Table13[[#This Row],[Governorate]]</f>
        <v>Karak</v>
      </c>
      <c r="B484" s="82">
        <f t="shared" si="14"/>
        <v>1</v>
      </c>
      <c r="C484" s="82">
        <v>0</v>
      </c>
      <c r="D484" s="82">
        <f>Table13[[#This Row],[Women-led]]</f>
        <v>1</v>
      </c>
      <c r="E484" s="83">
        <f t="shared" si="15"/>
        <v>1</v>
      </c>
      <c r="F484" s="92">
        <f>Table13[[#This Row],[Staff Delta]]</f>
        <v>0</v>
      </c>
      <c r="G484" s="93">
        <f>Table13[[#This Row],[Economic Sector]]</f>
        <v>0</v>
      </c>
    </row>
    <row r="485" spans="1:7">
      <c r="A485" s="20" t="str">
        <f>Table13[[#This Row],[Governorate]]</f>
        <v>Karak</v>
      </c>
      <c r="B485" s="82">
        <f t="shared" si="14"/>
        <v>1</v>
      </c>
      <c r="C485" s="82">
        <v>0</v>
      </c>
      <c r="D485" s="82">
        <f>Table13[[#This Row],[Women-led]]</f>
        <v>1</v>
      </c>
      <c r="E485" s="83">
        <f t="shared" si="15"/>
        <v>1</v>
      </c>
      <c r="F485" s="92">
        <f>Table13[[#This Row],[Staff Delta]]</f>
        <v>1</v>
      </c>
      <c r="G485" s="93">
        <f>Table13[[#This Row],[Economic Sector]]</f>
        <v>0</v>
      </c>
    </row>
    <row r="486" spans="1:7">
      <c r="A486" s="20" t="str">
        <f>Table13[[#This Row],[Governorate]]</f>
        <v>Karak</v>
      </c>
      <c r="B486" s="82">
        <f t="shared" si="14"/>
        <v>1</v>
      </c>
      <c r="C486" s="82">
        <v>0</v>
      </c>
      <c r="D486" s="82">
        <f>Table13[[#This Row],[Women-led]]</f>
        <v>1</v>
      </c>
      <c r="E486" s="83">
        <f t="shared" si="15"/>
        <v>1</v>
      </c>
      <c r="F486" s="92">
        <f>Table13[[#This Row],[Staff Delta]]</f>
        <v>0</v>
      </c>
      <c r="G486" s="93" t="str">
        <f>Table13[[#This Row],[Economic Sector]]</f>
        <v>Education</v>
      </c>
    </row>
    <row r="487" spans="1:7">
      <c r="A487" s="20" t="str">
        <f>Table13[[#This Row],[Governorate]]</f>
        <v>Karak</v>
      </c>
      <c r="B487" s="82">
        <f t="shared" si="14"/>
        <v>1</v>
      </c>
      <c r="C487" s="82">
        <v>1</v>
      </c>
      <c r="D487" s="82">
        <f>Table13[[#This Row],[Women-led]]</f>
        <v>0</v>
      </c>
      <c r="E487" s="83">
        <f t="shared" si="15"/>
        <v>0</v>
      </c>
      <c r="F487" s="92">
        <f>Table13[[#This Row],[Staff Delta]]</f>
        <v>0</v>
      </c>
      <c r="G487" s="93" t="str">
        <f>Table13[[#This Row],[Economic Sector]]</f>
        <v>Agriculture, forestry and fishing</v>
      </c>
    </row>
    <row r="488" spans="1:7">
      <c r="A488" s="20" t="str">
        <f>Table13[[#This Row],[Governorate]]</f>
        <v>Karak</v>
      </c>
      <c r="B488" s="82">
        <f t="shared" si="14"/>
        <v>1</v>
      </c>
      <c r="C488" s="82">
        <v>0</v>
      </c>
      <c r="D488" s="82">
        <f>Table13[[#This Row],[Women-led]]</f>
        <v>1</v>
      </c>
      <c r="E488" s="83">
        <f t="shared" si="15"/>
        <v>1</v>
      </c>
      <c r="F488" s="92">
        <f>Table13[[#This Row],[Staff Delta]]</f>
        <v>0</v>
      </c>
      <c r="G488" s="93" t="str">
        <f>Table13[[#This Row],[Economic Sector]]</f>
        <v>Manufacturing</v>
      </c>
    </row>
    <row r="489" spans="1:7">
      <c r="A489" s="20" t="str">
        <f>Table13[[#This Row],[Governorate]]</f>
        <v>Karak</v>
      </c>
      <c r="B489" s="82">
        <f t="shared" si="14"/>
        <v>1</v>
      </c>
      <c r="C489" s="82">
        <v>0</v>
      </c>
      <c r="D489" s="82">
        <f>Table13[[#This Row],[Women-led]]</f>
        <v>1</v>
      </c>
      <c r="E489" s="83">
        <f t="shared" si="15"/>
        <v>1</v>
      </c>
      <c r="F489" s="92">
        <f>Table13[[#This Row],[Staff Delta]]</f>
        <v>0</v>
      </c>
      <c r="G489" s="93" t="str">
        <f>Table13[[#This Row],[Economic Sector]]</f>
        <v>Education</v>
      </c>
    </row>
    <row r="490" spans="1:7">
      <c r="A490" s="20" t="str">
        <f>Table13[[#This Row],[Governorate]]</f>
        <v>Karak</v>
      </c>
      <c r="B490" s="82">
        <f t="shared" si="14"/>
        <v>1</v>
      </c>
      <c r="C490" s="82">
        <v>0</v>
      </c>
      <c r="D490" s="82">
        <f>Table13[[#This Row],[Women-led]]</f>
        <v>1</v>
      </c>
      <c r="E490" s="83">
        <f t="shared" si="15"/>
        <v>1</v>
      </c>
      <c r="F490" s="92">
        <f>Table13[[#This Row],[Staff Delta]]</f>
        <v>0</v>
      </c>
      <c r="G490" s="93" t="str">
        <f>Table13[[#This Row],[Economic Sector]]</f>
        <v>Arts, entertainment and recreation</v>
      </c>
    </row>
    <row r="491" spans="1:7">
      <c r="A491" s="20" t="str">
        <f>Table13[[#This Row],[Governorate]]</f>
        <v>Karak</v>
      </c>
      <c r="B491" s="82">
        <f t="shared" si="14"/>
        <v>1</v>
      </c>
      <c r="C491" s="82">
        <v>0</v>
      </c>
      <c r="D491" s="82">
        <f>Table13[[#This Row],[Women-led]]</f>
        <v>1</v>
      </c>
      <c r="E491" s="83">
        <f t="shared" si="15"/>
        <v>1</v>
      </c>
      <c r="F491" s="92">
        <f>Table13[[#This Row],[Staff Delta]]</f>
        <v>0</v>
      </c>
      <c r="G491" s="93" t="str">
        <f>Table13[[#This Row],[Economic Sector]]</f>
        <v>Human health and social work activities</v>
      </c>
    </row>
    <row r="492" spans="1:7">
      <c r="A492" s="20" t="str">
        <f>Table13[[#This Row],[Governorate]]</f>
        <v>Karak</v>
      </c>
      <c r="B492" s="82">
        <f t="shared" si="14"/>
        <v>1</v>
      </c>
      <c r="C492" s="82">
        <v>0</v>
      </c>
      <c r="D492" s="82">
        <f>Table13[[#This Row],[Women-led]]</f>
        <v>1</v>
      </c>
      <c r="E492" s="83">
        <f t="shared" si="15"/>
        <v>1</v>
      </c>
      <c r="F492" s="92">
        <f>Table13[[#This Row],[Staff Delta]]</f>
        <v>0</v>
      </c>
      <c r="G492" s="93" t="str">
        <f>Table13[[#This Row],[Economic Sector]]</f>
        <v>Manufacturing</v>
      </c>
    </row>
    <row r="493" spans="1:7">
      <c r="A493" s="20" t="str">
        <f>Table13[[#This Row],[Governorate]]</f>
        <v>Karak</v>
      </c>
      <c r="B493" s="82">
        <f t="shared" si="14"/>
        <v>1</v>
      </c>
      <c r="C493" s="82">
        <v>0</v>
      </c>
      <c r="D493" s="82">
        <f>Table13[[#This Row],[Women-led]]</f>
        <v>1</v>
      </c>
      <c r="E493" s="83">
        <f t="shared" si="15"/>
        <v>1</v>
      </c>
      <c r="F493" s="92">
        <f>Table13[[#This Row],[Staff Delta]]</f>
        <v>0</v>
      </c>
      <c r="G493" s="93" t="str">
        <f>Table13[[#This Row],[Economic Sector]]</f>
        <v>Human health and social work activities</v>
      </c>
    </row>
    <row r="494" spans="1:7">
      <c r="A494" s="20" t="str">
        <f>Table13[[#This Row],[Governorate]]</f>
        <v>Karak</v>
      </c>
      <c r="B494" s="82">
        <f t="shared" si="14"/>
        <v>1</v>
      </c>
      <c r="C494" s="82">
        <v>0</v>
      </c>
      <c r="D494" s="82">
        <f>Table13[[#This Row],[Women-led]]</f>
        <v>1</v>
      </c>
      <c r="E494" s="83">
        <f t="shared" si="15"/>
        <v>1</v>
      </c>
      <c r="F494" s="92">
        <f>Table13[[#This Row],[Staff Delta]]</f>
        <v>0</v>
      </c>
      <c r="G494" s="93" t="str">
        <f>Table13[[#This Row],[Economic Sector]]</f>
        <v>Arts, entertainment and recreation</v>
      </c>
    </row>
    <row r="495" spans="1:7">
      <c r="A495" s="20" t="str">
        <f>Table13[[#This Row],[Governorate]]</f>
        <v>Karak</v>
      </c>
      <c r="B495" s="82">
        <f t="shared" si="14"/>
        <v>1</v>
      </c>
      <c r="C495" s="82">
        <v>0</v>
      </c>
      <c r="D495" s="82">
        <f>Table13[[#This Row],[Women-led]]</f>
        <v>1</v>
      </c>
      <c r="E495" s="83">
        <f t="shared" si="15"/>
        <v>1</v>
      </c>
      <c r="F495" s="92">
        <f>Table13[[#This Row],[Staff Delta]]</f>
        <v>0</v>
      </c>
      <c r="G495" s="93" t="str">
        <f>Table13[[#This Row],[Economic Sector]]</f>
        <v>Manufacturing</v>
      </c>
    </row>
    <row r="496" spans="1:7">
      <c r="A496" s="20" t="str">
        <f>Table13[[#This Row],[Governorate]]</f>
        <v>Karak</v>
      </c>
      <c r="B496" s="82">
        <f t="shared" si="14"/>
        <v>1</v>
      </c>
      <c r="C496" s="82">
        <v>0</v>
      </c>
      <c r="D496" s="82">
        <f>Table13[[#This Row],[Women-led]]</f>
        <v>1</v>
      </c>
      <c r="E496" s="83">
        <f t="shared" si="15"/>
        <v>1</v>
      </c>
      <c r="F496" s="92">
        <f>Table13[[#This Row],[Staff Delta]]</f>
        <v>0</v>
      </c>
      <c r="G496" s="93" t="str">
        <f>Table13[[#This Row],[Economic Sector]]</f>
        <v>Arts, entertainment and recreation</v>
      </c>
    </row>
    <row r="497" spans="1:7">
      <c r="A497" s="20" t="str">
        <f>Table13[[#This Row],[Governorate]]</f>
        <v>Karak</v>
      </c>
      <c r="B497" s="82">
        <f t="shared" si="14"/>
        <v>1</v>
      </c>
      <c r="C497" s="82">
        <v>0</v>
      </c>
      <c r="D497" s="82">
        <f>Table13[[#This Row],[Women-led]]</f>
        <v>1</v>
      </c>
      <c r="E497" s="83">
        <f t="shared" si="15"/>
        <v>1</v>
      </c>
      <c r="F497" s="92">
        <f>Table13[[#This Row],[Staff Delta]]</f>
        <v>0</v>
      </c>
      <c r="G497" s="93" t="str">
        <f>Table13[[#This Row],[Economic Sector]]</f>
        <v>Manufacturing</v>
      </c>
    </row>
    <row r="498" spans="1:7">
      <c r="A498" s="20" t="str">
        <f>Table13[[#This Row],[Governorate]]</f>
        <v>Karak</v>
      </c>
      <c r="B498" s="82">
        <f t="shared" si="14"/>
        <v>1</v>
      </c>
      <c r="C498" s="82">
        <v>0</v>
      </c>
      <c r="D498" s="82">
        <f>Table13[[#This Row],[Women-led]]</f>
        <v>1</v>
      </c>
      <c r="E498" s="83">
        <f t="shared" si="15"/>
        <v>1</v>
      </c>
      <c r="F498" s="92">
        <f>Table13[[#This Row],[Staff Delta]]</f>
        <v>0</v>
      </c>
      <c r="G498" s="93" t="str">
        <f>Table13[[#This Row],[Economic Sector]]</f>
        <v>Manufacturing</v>
      </c>
    </row>
    <row r="499" spans="1:7">
      <c r="A499" s="20" t="str">
        <f>Table13[[#This Row],[Governorate]]</f>
        <v>Karak</v>
      </c>
      <c r="B499" s="82">
        <f t="shared" si="14"/>
        <v>1</v>
      </c>
      <c r="C499" s="82">
        <v>1</v>
      </c>
      <c r="D499" s="82">
        <f>Table13[[#This Row],[Women-led]]</f>
        <v>0</v>
      </c>
      <c r="E499" s="83">
        <f t="shared" si="15"/>
        <v>0</v>
      </c>
      <c r="F499" s="92">
        <f>Table13[[#This Row],[Staff Delta]]</f>
        <v>0</v>
      </c>
      <c r="G499" s="93" t="str">
        <f>Table13[[#This Row],[Economic Sector]]</f>
        <v>Financial and insurance activities</v>
      </c>
    </row>
    <row r="500" spans="1:7">
      <c r="A500" s="20" t="str">
        <f>Table13[[#This Row],[Governorate]]</f>
        <v>Karak</v>
      </c>
      <c r="B500" s="82">
        <f t="shared" si="14"/>
        <v>1</v>
      </c>
      <c r="C500" s="82">
        <v>0</v>
      </c>
      <c r="D500" s="82">
        <f>Table13[[#This Row],[Women-led]]</f>
        <v>1</v>
      </c>
      <c r="E500" s="83">
        <f t="shared" si="15"/>
        <v>1</v>
      </c>
      <c r="F500" s="92">
        <f>Table13[[#This Row],[Staff Delta]]</f>
        <v>0</v>
      </c>
      <c r="G500" s="93" t="str">
        <f>Table13[[#This Row],[Economic Sector]]</f>
        <v>Arts, entertainment and recreation</v>
      </c>
    </row>
    <row r="501" spans="1:7">
      <c r="A501" s="20" t="str">
        <f>Table13[[#This Row],[Governorate]]</f>
        <v>Karak</v>
      </c>
      <c r="B501" s="82">
        <f t="shared" si="14"/>
        <v>1</v>
      </c>
      <c r="C501" s="82">
        <v>1</v>
      </c>
      <c r="D501" s="82">
        <f>Table13[[#This Row],[Women-led]]</f>
        <v>0</v>
      </c>
      <c r="E501" s="83">
        <f t="shared" si="15"/>
        <v>0</v>
      </c>
      <c r="F501" s="92">
        <f>Table13[[#This Row],[Staff Delta]]</f>
        <v>0</v>
      </c>
      <c r="G501" s="93" t="str">
        <f>Table13[[#This Row],[Economic Sector]]</f>
        <v>Accommodation and food service activities</v>
      </c>
    </row>
    <row r="502" spans="1:7">
      <c r="A502" s="20" t="str">
        <f>Table13[[#This Row],[Governorate]]</f>
        <v>Karak</v>
      </c>
      <c r="B502" s="82">
        <f t="shared" si="14"/>
        <v>1</v>
      </c>
      <c r="C502" s="82">
        <v>0</v>
      </c>
      <c r="D502" s="82">
        <f>Table13[[#This Row],[Women-led]]</f>
        <v>1</v>
      </c>
      <c r="E502" s="83">
        <f t="shared" si="15"/>
        <v>1</v>
      </c>
      <c r="F502" s="92">
        <f>Table13[[#This Row],[Staff Delta]]</f>
        <v>0</v>
      </c>
      <c r="G502" s="93" t="str">
        <f>Table13[[#This Row],[Economic Sector]]</f>
        <v>Manufacturing</v>
      </c>
    </row>
    <row r="503" spans="1:7">
      <c r="A503" s="20" t="str">
        <f>Table13[[#This Row],[Governorate]]</f>
        <v>Karak</v>
      </c>
      <c r="B503" s="82">
        <f t="shared" si="14"/>
        <v>1</v>
      </c>
      <c r="C503" s="82">
        <v>1</v>
      </c>
      <c r="D503" s="82">
        <f>Table13[[#This Row],[Women-led]]</f>
        <v>0</v>
      </c>
      <c r="E503" s="83">
        <f t="shared" si="15"/>
        <v>0</v>
      </c>
      <c r="F503" s="92">
        <f>Table13[[#This Row],[Staff Delta]]</f>
        <v>0</v>
      </c>
      <c r="G503" s="93" t="str">
        <f>Table13[[#This Row],[Economic Sector]]</f>
        <v>Information and communication</v>
      </c>
    </row>
    <row r="504" spans="1:7">
      <c r="A504" s="20" t="str">
        <f>Table13[[#This Row],[Governorate]]</f>
        <v>Karak</v>
      </c>
      <c r="B504" s="82">
        <f t="shared" si="14"/>
        <v>1</v>
      </c>
      <c r="C504" s="82">
        <v>0</v>
      </c>
      <c r="D504" s="82">
        <f>Table13[[#This Row],[Women-led]]</f>
        <v>1</v>
      </c>
      <c r="E504" s="83">
        <f t="shared" si="15"/>
        <v>1</v>
      </c>
      <c r="F504" s="92">
        <f>Table13[[#This Row],[Staff Delta]]</f>
        <v>0</v>
      </c>
      <c r="G504" s="93" t="str">
        <f>Table13[[#This Row],[Economic Sector]]</f>
        <v>Arts, entertainment and recreation</v>
      </c>
    </row>
    <row r="505" spans="1:7">
      <c r="A505" s="20" t="str">
        <f>Table13[[#This Row],[Governorate]]</f>
        <v>Karak</v>
      </c>
      <c r="B505" s="82">
        <f t="shared" si="14"/>
        <v>1</v>
      </c>
      <c r="C505" s="82">
        <v>0</v>
      </c>
      <c r="D505" s="82">
        <f>Table13[[#This Row],[Women-led]]</f>
        <v>1</v>
      </c>
      <c r="E505" s="83">
        <f t="shared" si="15"/>
        <v>1</v>
      </c>
      <c r="F505" s="92">
        <f>Table13[[#This Row],[Staff Delta]]</f>
        <v>0</v>
      </c>
      <c r="G505" s="93" t="str">
        <f>Table13[[#This Row],[Economic Sector]]</f>
        <v>Education</v>
      </c>
    </row>
    <row r="506" spans="1:7">
      <c r="A506" s="20" t="str">
        <f>Table13[[#This Row],[Governorate]]</f>
        <v>Maan</v>
      </c>
      <c r="B506" s="82">
        <f t="shared" si="14"/>
        <v>1</v>
      </c>
      <c r="C506" s="82">
        <v>1</v>
      </c>
      <c r="D506" s="82">
        <f>Table13[[#This Row],[Women-led]]</f>
        <v>0</v>
      </c>
      <c r="E506" s="83">
        <f t="shared" si="15"/>
        <v>0</v>
      </c>
      <c r="F506" s="92">
        <f>Table13[[#This Row],[Staff Delta]]</f>
        <v>0</v>
      </c>
      <c r="G506" s="93" t="str">
        <f>Table13[[#This Row],[Economic Sector]]</f>
        <v>Accommodation and food service activities</v>
      </c>
    </row>
    <row r="507" spans="1:7">
      <c r="A507" s="20" t="str">
        <f>Table13[[#This Row],[Governorate]]</f>
        <v>Maan</v>
      </c>
      <c r="B507" s="82">
        <f t="shared" si="14"/>
        <v>1</v>
      </c>
      <c r="C507" s="82">
        <v>1</v>
      </c>
      <c r="D507" s="82">
        <f>Table13[[#This Row],[Women-led]]</f>
        <v>0</v>
      </c>
      <c r="E507" s="83">
        <f t="shared" si="15"/>
        <v>0</v>
      </c>
      <c r="F507" s="92">
        <f>Table13[[#This Row],[Staff Delta]]</f>
        <v>5</v>
      </c>
      <c r="G507" s="93" t="str">
        <f>Table13[[#This Row],[Economic Sector]]</f>
        <v>Arts, entertainment and recreation</v>
      </c>
    </row>
    <row r="508" spans="1:7">
      <c r="A508" s="20" t="str">
        <f>Table13[[#This Row],[Governorate]]</f>
        <v>Maan</v>
      </c>
      <c r="B508" s="82">
        <f t="shared" si="14"/>
        <v>1</v>
      </c>
      <c r="C508" s="82">
        <v>0</v>
      </c>
      <c r="D508" s="82">
        <f>Table13[[#This Row],[Women-led]]</f>
        <v>1</v>
      </c>
      <c r="E508" s="83">
        <f t="shared" si="15"/>
        <v>1</v>
      </c>
      <c r="F508" s="92">
        <f>Table13[[#This Row],[Staff Delta]]</f>
        <v>4</v>
      </c>
      <c r="G508" s="93" t="str">
        <f>Table13[[#This Row],[Economic Sector]]</f>
        <v>Agriculture, forestry and fishing</v>
      </c>
    </row>
    <row r="509" spans="1:7">
      <c r="A509" s="20" t="str">
        <f>Table13[[#This Row],[Governorate]]</f>
        <v>Maan</v>
      </c>
      <c r="B509" s="82">
        <f t="shared" si="14"/>
        <v>1</v>
      </c>
      <c r="C509" s="82">
        <v>0</v>
      </c>
      <c r="D509" s="82">
        <f>Table13[[#This Row],[Women-led]]</f>
        <v>1</v>
      </c>
      <c r="E509" s="83">
        <f t="shared" si="15"/>
        <v>1</v>
      </c>
      <c r="F509" s="92">
        <f>Table13[[#This Row],[Staff Delta]]</f>
        <v>4</v>
      </c>
      <c r="G509" s="93">
        <f>Table13[[#This Row],[Economic Sector]]</f>
        <v>0</v>
      </c>
    </row>
    <row r="510" spans="1:7">
      <c r="A510" s="20" t="str">
        <f>Table13[[#This Row],[Governorate]]</f>
        <v>Maan</v>
      </c>
      <c r="B510" s="82">
        <f t="shared" si="14"/>
        <v>1</v>
      </c>
      <c r="C510" s="82">
        <v>1</v>
      </c>
      <c r="D510" s="82">
        <f>Table13[[#This Row],[Women-led]]</f>
        <v>0</v>
      </c>
      <c r="E510" s="83">
        <f t="shared" si="15"/>
        <v>0</v>
      </c>
      <c r="F510" s="92">
        <f>Table13[[#This Row],[Staff Delta]]</f>
        <v>1</v>
      </c>
      <c r="G510" s="93">
        <f>Table13[[#This Row],[Economic Sector]]</f>
        <v>0</v>
      </c>
    </row>
    <row r="511" spans="1:7">
      <c r="A511" s="20" t="str">
        <f>Table13[[#This Row],[Governorate]]</f>
        <v>Maan</v>
      </c>
      <c r="B511" s="82">
        <f t="shared" si="14"/>
        <v>1</v>
      </c>
      <c r="C511" s="82">
        <v>1</v>
      </c>
      <c r="D511" s="82">
        <f>Table13[[#This Row],[Women-led]]</f>
        <v>0</v>
      </c>
      <c r="E511" s="83">
        <f t="shared" si="15"/>
        <v>0</v>
      </c>
      <c r="F511" s="92">
        <f>Table13[[#This Row],[Staff Delta]]</f>
        <v>6</v>
      </c>
      <c r="G511" s="93" t="str">
        <f>Table13[[#This Row],[Economic Sector]]</f>
        <v>Education</v>
      </c>
    </row>
    <row r="512" spans="1:7">
      <c r="A512" s="20" t="str">
        <f>Table13[[#This Row],[Governorate]]</f>
        <v>Maan</v>
      </c>
      <c r="B512" s="82">
        <f t="shared" si="14"/>
        <v>1</v>
      </c>
      <c r="C512" s="82">
        <v>0</v>
      </c>
      <c r="D512" s="82">
        <f>Table13[[#This Row],[Women-led]]</f>
        <v>1</v>
      </c>
      <c r="E512" s="83">
        <f t="shared" si="15"/>
        <v>1</v>
      </c>
      <c r="F512" s="92">
        <f>Table13[[#This Row],[Staff Delta]]</f>
        <v>0</v>
      </c>
      <c r="G512" s="93" t="str">
        <f>Table13[[#This Row],[Economic Sector]]</f>
        <v>Arts, entertainment and recreation</v>
      </c>
    </row>
    <row r="513" spans="1:7">
      <c r="A513" s="20" t="str">
        <f>Table13[[#This Row],[Governorate]]</f>
        <v>Maan</v>
      </c>
      <c r="B513" s="82">
        <f t="shared" si="14"/>
        <v>1</v>
      </c>
      <c r="C513" s="82">
        <v>0</v>
      </c>
      <c r="D513" s="82">
        <f>Table13[[#This Row],[Women-led]]</f>
        <v>1</v>
      </c>
      <c r="E513" s="83">
        <f t="shared" si="15"/>
        <v>1</v>
      </c>
      <c r="F513" s="92">
        <f>Table13[[#This Row],[Staff Delta]]</f>
        <v>3</v>
      </c>
      <c r="G513" s="93" t="str">
        <f>Table13[[#This Row],[Economic Sector]]</f>
        <v>Manufacturing</v>
      </c>
    </row>
    <row r="514" spans="1:7">
      <c r="A514" s="20" t="str">
        <f>Table13[[#This Row],[Governorate]]</f>
        <v>Maan</v>
      </c>
      <c r="B514" s="82">
        <f t="shared" si="14"/>
        <v>1</v>
      </c>
      <c r="C514" s="82">
        <v>1</v>
      </c>
      <c r="D514" s="82">
        <f>Table13[[#This Row],[Women-led]]</f>
        <v>0</v>
      </c>
      <c r="E514" s="83">
        <f t="shared" si="15"/>
        <v>0</v>
      </c>
      <c r="F514" s="92">
        <f>Table13[[#This Row],[Staff Delta]]</f>
        <v>0</v>
      </c>
      <c r="G514" s="93" t="str">
        <f>Table13[[#This Row],[Economic Sector]]</f>
        <v>Arts, entertainment and recreation</v>
      </c>
    </row>
    <row r="515" spans="1:7">
      <c r="A515" s="20" t="str">
        <f>Table13[[#This Row],[Governorate]]</f>
        <v>Maan</v>
      </c>
      <c r="B515" s="82">
        <f t="shared" si="14"/>
        <v>1</v>
      </c>
      <c r="C515" s="82">
        <v>0</v>
      </c>
      <c r="D515" s="82">
        <f>Table13[[#This Row],[Women-led]]</f>
        <v>1</v>
      </c>
      <c r="E515" s="83">
        <f t="shared" si="15"/>
        <v>1</v>
      </c>
      <c r="F515" s="92">
        <f>Table13[[#This Row],[Staff Delta]]</f>
        <v>0</v>
      </c>
      <c r="G515" s="93" t="str">
        <f>Table13[[#This Row],[Economic Sector]]</f>
        <v>Manufacturing</v>
      </c>
    </row>
    <row r="516" spans="1:7">
      <c r="A516" s="20" t="str">
        <f>Table13[[#This Row],[Governorate]]</f>
        <v>Maan</v>
      </c>
      <c r="B516" s="82">
        <f t="shared" si="14"/>
        <v>1</v>
      </c>
      <c r="C516" s="82">
        <v>0</v>
      </c>
      <c r="D516" s="82">
        <f>Table13[[#This Row],[Women-led]]</f>
        <v>1</v>
      </c>
      <c r="E516" s="83">
        <f t="shared" si="15"/>
        <v>1</v>
      </c>
      <c r="F516" s="92">
        <f>Table13[[#This Row],[Staff Delta]]</f>
        <v>0</v>
      </c>
      <c r="G516" s="93" t="str">
        <f>Table13[[#This Row],[Economic Sector]]</f>
        <v>Arts, entertainment and recreation</v>
      </c>
    </row>
    <row r="517" spans="1:7">
      <c r="A517" s="20" t="str">
        <f>Table13[[#This Row],[Governorate]]</f>
        <v>Maan</v>
      </c>
      <c r="B517" s="82">
        <f t="shared" si="14"/>
        <v>1</v>
      </c>
      <c r="C517" s="82">
        <v>0</v>
      </c>
      <c r="D517" s="82">
        <f>Table13[[#This Row],[Women-led]]</f>
        <v>1</v>
      </c>
      <c r="E517" s="83">
        <f t="shared" si="15"/>
        <v>1</v>
      </c>
      <c r="F517" s="92">
        <f>Table13[[#This Row],[Staff Delta]]</f>
        <v>2</v>
      </c>
      <c r="G517" s="93" t="str">
        <f>Table13[[#This Row],[Economic Sector]]</f>
        <v>Agriculture, forestry and fishing</v>
      </c>
    </row>
    <row r="518" spans="1:7">
      <c r="A518" s="20" t="str">
        <f>Table13[[#This Row],[Governorate]]</f>
        <v>Maan</v>
      </c>
      <c r="B518" s="82">
        <f t="shared" ref="B518:B581" si="16">C518+D518</f>
        <v>1</v>
      </c>
      <c r="C518" s="82">
        <v>0</v>
      </c>
      <c r="D518" s="82">
        <f>Table13[[#This Row],[Women-led]]</f>
        <v>1</v>
      </c>
      <c r="E518" s="83">
        <f t="shared" ref="E518:E581" si="17">IF(OR(B518="",D518=""),"",IFERROR(D518/B518,""))</f>
        <v>1</v>
      </c>
      <c r="F518" s="92">
        <f>Table13[[#This Row],[Staff Delta]]</f>
        <v>0</v>
      </c>
      <c r="G518" s="93" t="str">
        <f>Table13[[#This Row],[Economic Sector]]</f>
        <v>Education</v>
      </c>
    </row>
    <row r="519" spans="1:7">
      <c r="A519" s="20" t="str">
        <f>Table13[[#This Row],[Governorate]]</f>
        <v>Maan</v>
      </c>
      <c r="B519" s="82">
        <f t="shared" si="16"/>
        <v>1</v>
      </c>
      <c r="C519" s="82">
        <v>1</v>
      </c>
      <c r="D519" s="82">
        <f>Table13[[#This Row],[Women-led]]</f>
        <v>0</v>
      </c>
      <c r="E519" s="83">
        <f t="shared" si="17"/>
        <v>0</v>
      </c>
      <c r="F519" s="92">
        <f>Table13[[#This Row],[Staff Delta]]</f>
        <v>0</v>
      </c>
      <c r="G519" s="93" t="str">
        <f>Table13[[#This Row],[Economic Sector]]</f>
        <v>Manufacturing</v>
      </c>
    </row>
    <row r="520" spans="1:7">
      <c r="A520" s="20" t="str">
        <f>Table13[[#This Row],[Governorate]]</f>
        <v>Maan</v>
      </c>
      <c r="B520" s="82">
        <f t="shared" si="16"/>
        <v>1</v>
      </c>
      <c r="C520" s="82">
        <v>1</v>
      </c>
      <c r="D520" s="82">
        <f>Table13[[#This Row],[Women-led]]</f>
        <v>0</v>
      </c>
      <c r="E520" s="83">
        <f t="shared" si="17"/>
        <v>0</v>
      </c>
      <c r="F520" s="92">
        <f>Table13[[#This Row],[Staff Delta]]</f>
        <v>0</v>
      </c>
      <c r="G520" s="93" t="str">
        <f>Table13[[#This Row],[Economic Sector]]</f>
        <v>Administrative and support service activities</v>
      </c>
    </row>
    <row r="521" spans="1:7">
      <c r="A521" s="20" t="str">
        <f>Table13[[#This Row],[Governorate]]</f>
        <v>Madaba</v>
      </c>
      <c r="B521" s="82">
        <f t="shared" si="16"/>
        <v>1</v>
      </c>
      <c r="C521" s="82">
        <v>1</v>
      </c>
      <c r="D521" s="82">
        <f>Table13[[#This Row],[Women-led]]</f>
        <v>0</v>
      </c>
      <c r="E521" s="83">
        <f t="shared" si="17"/>
        <v>0</v>
      </c>
      <c r="F521" s="92">
        <f>Table13[[#This Row],[Staff Delta]]</f>
        <v>0</v>
      </c>
      <c r="G521" s="93" t="str">
        <f>Table13[[#This Row],[Economic Sector]]</f>
        <v>Agriculture, forestry and fishing</v>
      </c>
    </row>
    <row r="522" spans="1:7">
      <c r="A522" s="20" t="str">
        <f>Table13[[#This Row],[Governorate]]</f>
        <v>Mafraq</v>
      </c>
      <c r="B522" s="82">
        <f t="shared" si="16"/>
        <v>1</v>
      </c>
      <c r="C522" s="82">
        <v>0</v>
      </c>
      <c r="D522" s="82">
        <f>Table13[[#This Row],[Women-led]]</f>
        <v>1</v>
      </c>
      <c r="E522" s="83">
        <f t="shared" si="17"/>
        <v>1</v>
      </c>
      <c r="F522" s="92">
        <f>Table13[[#This Row],[Staff Delta]]</f>
        <v>0</v>
      </c>
      <c r="G522" s="93" t="str">
        <f>Table13[[#This Row],[Economic Sector]]</f>
        <v>Manufacturing</v>
      </c>
    </row>
    <row r="523" spans="1:7">
      <c r="A523" s="20" t="str">
        <f>Table13[[#This Row],[Governorate]]</f>
        <v>Mafraq</v>
      </c>
      <c r="B523" s="82">
        <f t="shared" si="16"/>
        <v>1</v>
      </c>
      <c r="C523" s="82">
        <v>1</v>
      </c>
      <c r="D523" s="82">
        <f>Table13[[#This Row],[Women-led]]</f>
        <v>0</v>
      </c>
      <c r="E523" s="83">
        <f t="shared" si="17"/>
        <v>0</v>
      </c>
      <c r="F523" s="92">
        <f>Table13[[#This Row],[Staff Delta]]</f>
        <v>1</v>
      </c>
      <c r="G523" s="93" t="str">
        <f>Table13[[#This Row],[Economic Sector]]</f>
        <v>Information and communication</v>
      </c>
    </row>
    <row r="524" spans="1:7">
      <c r="A524" s="20" t="str">
        <f>Table13[[#This Row],[Governorate]]</f>
        <v>Mafraq</v>
      </c>
      <c r="B524" s="82">
        <f t="shared" si="16"/>
        <v>1</v>
      </c>
      <c r="C524" s="82">
        <v>0</v>
      </c>
      <c r="D524" s="82">
        <f>Table13[[#This Row],[Women-led]]</f>
        <v>1</v>
      </c>
      <c r="E524" s="83">
        <f t="shared" si="17"/>
        <v>1</v>
      </c>
      <c r="F524" s="92">
        <f>Table13[[#This Row],[Staff Delta]]</f>
        <v>0</v>
      </c>
      <c r="G524" s="93" t="str">
        <f>Table13[[#This Row],[Economic Sector]]</f>
        <v>Agriculture, forestry and fishing</v>
      </c>
    </row>
    <row r="525" spans="1:7">
      <c r="A525" s="20" t="str">
        <f>Table13[[#This Row],[Governorate]]</f>
        <v>Mafraq</v>
      </c>
      <c r="B525" s="82">
        <f t="shared" si="16"/>
        <v>1</v>
      </c>
      <c r="C525" s="82">
        <v>1</v>
      </c>
      <c r="D525" s="82">
        <f>Table13[[#This Row],[Women-led]]</f>
        <v>0</v>
      </c>
      <c r="E525" s="83">
        <f t="shared" si="17"/>
        <v>0</v>
      </c>
      <c r="F525" s="92">
        <f>Table13[[#This Row],[Staff Delta]]</f>
        <v>1</v>
      </c>
      <c r="G525" s="93" t="str">
        <f>Table13[[#This Row],[Economic Sector]]</f>
        <v>Transportation and storage</v>
      </c>
    </row>
    <row r="526" spans="1:7">
      <c r="A526" s="20" t="str">
        <f>Table13[[#This Row],[Governorate]]</f>
        <v>Mafraq</v>
      </c>
      <c r="B526" s="82">
        <f t="shared" si="16"/>
        <v>1</v>
      </c>
      <c r="C526" s="82">
        <v>0</v>
      </c>
      <c r="D526" s="82">
        <f>Table13[[#This Row],[Women-led]]</f>
        <v>1</v>
      </c>
      <c r="E526" s="83">
        <f t="shared" si="17"/>
        <v>1</v>
      </c>
      <c r="F526" s="92">
        <f>Table13[[#This Row],[Staff Delta]]</f>
        <v>1</v>
      </c>
      <c r="G526" s="93" t="str">
        <f>Table13[[#This Row],[Economic Sector]]</f>
        <v>Agriculture, forestry and fishing</v>
      </c>
    </row>
    <row r="527" spans="1:7">
      <c r="A527" s="20" t="str">
        <f>Table13[[#This Row],[Governorate]]</f>
        <v>Mafraq</v>
      </c>
      <c r="B527" s="82">
        <f t="shared" si="16"/>
        <v>1</v>
      </c>
      <c r="C527" s="82">
        <v>1</v>
      </c>
      <c r="D527" s="82">
        <f>Table13[[#This Row],[Women-led]]</f>
        <v>0</v>
      </c>
      <c r="E527" s="83">
        <f t="shared" si="17"/>
        <v>0</v>
      </c>
      <c r="F527" s="92">
        <f>Table13[[#This Row],[Staff Delta]]</f>
        <v>4</v>
      </c>
      <c r="G527" s="93" t="str">
        <f>Table13[[#This Row],[Economic Sector]]</f>
        <v>Professional, scientific and technical activities</v>
      </c>
    </row>
    <row r="528" spans="1:7">
      <c r="A528" s="20" t="str">
        <f>Table13[[#This Row],[Governorate]]</f>
        <v>Mafraq</v>
      </c>
      <c r="B528" s="82">
        <f t="shared" si="16"/>
        <v>1</v>
      </c>
      <c r="C528" s="82">
        <v>1</v>
      </c>
      <c r="D528" s="82">
        <f>Table13[[#This Row],[Women-led]]</f>
        <v>0</v>
      </c>
      <c r="E528" s="83">
        <f t="shared" si="17"/>
        <v>0</v>
      </c>
      <c r="F528" s="92">
        <f>Table13[[#This Row],[Staff Delta]]</f>
        <v>1</v>
      </c>
      <c r="G528" s="93" t="str">
        <f>Table13[[#This Row],[Economic Sector]]</f>
        <v>Information and communication</v>
      </c>
    </row>
    <row r="529" spans="1:7">
      <c r="A529" s="20" t="str">
        <f>Table13[[#This Row],[Governorate]]</f>
        <v>Mafraq</v>
      </c>
      <c r="B529" s="82">
        <f t="shared" si="16"/>
        <v>1</v>
      </c>
      <c r="C529" s="82">
        <v>0</v>
      </c>
      <c r="D529" s="82">
        <f>Table13[[#This Row],[Women-led]]</f>
        <v>1</v>
      </c>
      <c r="E529" s="83">
        <f t="shared" si="17"/>
        <v>1</v>
      </c>
      <c r="F529" s="92">
        <f>Table13[[#This Row],[Staff Delta]]</f>
        <v>1</v>
      </c>
      <c r="G529" s="93" t="str">
        <f>Table13[[#This Row],[Economic Sector]]</f>
        <v>Manufacturing</v>
      </c>
    </row>
    <row r="530" spans="1:7">
      <c r="A530" s="20" t="str">
        <f>Table13[[#This Row],[Governorate]]</f>
        <v>Mafraq</v>
      </c>
      <c r="B530" s="82">
        <f t="shared" si="16"/>
        <v>1</v>
      </c>
      <c r="C530" s="82">
        <v>0</v>
      </c>
      <c r="D530" s="82">
        <f>Table13[[#This Row],[Women-led]]</f>
        <v>1</v>
      </c>
      <c r="E530" s="83">
        <f t="shared" si="17"/>
        <v>1</v>
      </c>
      <c r="F530" s="92">
        <f>Table13[[#This Row],[Staff Delta]]</f>
        <v>6</v>
      </c>
      <c r="G530" s="93" t="str">
        <f>Table13[[#This Row],[Economic Sector]]</f>
        <v>Professional, scientific and technical activities</v>
      </c>
    </row>
    <row r="531" spans="1:7">
      <c r="A531" s="20" t="str">
        <f>Table13[[#This Row],[Governorate]]</f>
        <v>Mafraq</v>
      </c>
      <c r="B531" s="82">
        <f t="shared" si="16"/>
        <v>1</v>
      </c>
      <c r="C531" s="82">
        <v>0</v>
      </c>
      <c r="D531" s="82">
        <f>Table13[[#This Row],[Women-led]]</f>
        <v>1</v>
      </c>
      <c r="E531" s="83">
        <f t="shared" si="17"/>
        <v>1</v>
      </c>
      <c r="F531" s="92">
        <f>Table13[[#This Row],[Staff Delta]]</f>
        <v>1</v>
      </c>
      <c r="G531" s="93" t="str">
        <f>Table13[[#This Row],[Economic Sector]]</f>
        <v>Wholesale and retail trade; repair of motor vehicles and motorcycles</v>
      </c>
    </row>
    <row r="532" spans="1:7">
      <c r="A532" s="20" t="str">
        <f>Table13[[#This Row],[Governorate]]</f>
        <v>Mafraq</v>
      </c>
      <c r="B532" s="82">
        <f t="shared" si="16"/>
        <v>1</v>
      </c>
      <c r="C532" s="82">
        <v>0</v>
      </c>
      <c r="D532" s="82">
        <f>Table13[[#This Row],[Women-led]]</f>
        <v>1</v>
      </c>
      <c r="E532" s="83">
        <f t="shared" si="17"/>
        <v>1</v>
      </c>
      <c r="F532" s="92">
        <f>Table13[[#This Row],[Staff Delta]]</f>
        <v>1</v>
      </c>
      <c r="G532" s="93" t="str">
        <f>Table13[[#This Row],[Economic Sector]]</f>
        <v>Agriculture, forestry and fishing</v>
      </c>
    </row>
    <row r="533" spans="1:7">
      <c r="A533" s="20" t="str">
        <f>Table13[[#This Row],[Governorate]]</f>
        <v>Mafraq</v>
      </c>
      <c r="B533" s="82">
        <f t="shared" si="16"/>
        <v>1</v>
      </c>
      <c r="C533" s="82">
        <v>0</v>
      </c>
      <c r="D533" s="82">
        <f>Table13[[#This Row],[Women-led]]</f>
        <v>1</v>
      </c>
      <c r="E533" s="83">
        <f t="shared" si="17"/>
        <v>1</v>
      </c>
      <c r="F533" s="92">
        <f>Table13[[#This Row],[Staff Delta]]</f>
        <v>1</v>
      </c>
      <c r="G533" s="93" t="str">
        <f>Table13[[#This Row],[Economic Sector]]</f>
        <v>Manufacturing</v>
      </c>
    </row>
    <row r="534" spans="1:7">
      <c r="A534" s="20" t="str">
        <f>Table13[[#This Row],[Governorate]]</f>
        <v>Mafraq</v>
      </c>
      <c r="B534" s="82">
        <f t="shared" si="16"/>
        <v>1</v>
      </c>
      <c r="C534" s="82">
        <v>0</v>
      </c>
      <c r="D534" s="82">
        <f>Table13[[#This Row],[Women-led]]</f>
        <v>1</v>
      </c>
      <c r="E534" s="83">
        <f t="shared" si="17"/>
        <v>1</v>
      </c>
      <c r="F534" s="92">
        <f>Table13[[#This Row],[Staff Delta]]</f>
        <v>0</v>
      </c>
      <c r="G534" s="93" t="str">
        <f>Table13[[#This Row],[Economic Sector]]</f>
        <v>Agriculture, forestry and fishing</v>
      </c>
    </row>
    <row r="535" spans="1:7">
      <c r="A535" s="20" t="str">
        <f>Table13[[#This Row],[Governorate]]</f>
        <v>Mafraq</v>
      </c>
      <c r="B535" s="82">
        <f t="shared" si="16"/>
        <v>1</v>
      </c>
      <c r="C535" s="82">
        <v>0</v>
      </c>
      <c r="D535" s="82">
        <f>Table13[[#This Row],[Women-led]]</f>
        <v>1</v>
      </c>
      <c r="E535" s="83">
        <f t="shared" si="17"/>
        <v>1</v>
      </c>
      <c r="F535" s="92">
        <f>Table13[[#This Row],[Staff Delta]]</f>
        <v>0</v>
      </c>
      <c r="G535" s="93" t="str">
        <f>Table13[[#This Row],[Economic Sector]]</f>
        <v>Agriculture, forestry and fishing</v>
      </c>
    </row>
    <row r="536" spans="1:7">
      <c r="A536" s="20" t="str">
        <f>Table13[[#This Row],[Governorate]]</f>
        <v>Mafraq</v>
      </c>
      <c r="B536" s="82">
        <f t="shared" si="16"/>
        <v>1</v>
      </c>
      <c r="C536" s="82">
        <v>0</v>
      </c>
      <c r="D536" s="82">
        <f>Table13[[#This Row],[Women-led]]</f>
        <v>1</v>
      </c>
      <c r="E536" s="83">
        <f t="shared" si="17"/>
        <v>1</v>
      </c>
      <c r="F536" s="92">
        <f>Table13[[#This Row],[Staff Delta]]</f>
        <v>1</v>
      </c>
      <c r="G536" s="93" t="str">
        <f>Table13[[#This Row],[Economic Sector]]</f>
        <v>Agriculture, forestry and fishing</v>
      </c>
    </row>
    <row r="537" spans="1:7">
      <c r="A537" s="20" t="str">
        <f>Table13[[#This Row],[Governorate]]</f>
        <v>Mafraq</v>
      </c>
      <c r="B537" s="82">
        <f t="shared" si="16"/>
        <v>1</v>
      </c>
      <c r="C537" s="82">
        <v>0</v>
      </c>
      <c r="D537" s="82">
        <f>Table13[[#This Row],[Women-led]]</f>
        <v>1</v>
      </c>
      <c r="E537" s="83">
        <f t="shared" si="17"/>
        <v>1</v>
      </c>
      <c r="F537" s="92">
        <f>Table13[[#This Row],[Staff Delta]]</f>
        <v>14</v>
      </c>
      <c r="G537" s="93" t="str">
        <f>Table13[[#This Row],[Economic Sector]]</f>
        <v>Agriculture, forestry and fishing</v>
      </c>
    </row>
    <row r="538" spans="1:7">
      <c r="A538" s="20" t="str">
        <f>Table13[[#This Row],[Governorate]]</f>
        <v>Mafraq</v>
      </c>
      <c r="B538" s="82">
        <f t="shared" si="16"/>
        <v>1</v>
      </c>
      <c r="C538" s="82">
        <v>0</v>
      </c>
      <c r="D538" s="82">
        <f>Table13[[#This Row],[Women-led]]</f>
        <v>1</v>
      </c>
      <c r="E538" s="83">
        <f t="shared" si="17"/>
        <v>1</v>
      </c>
      <c r="F538" s="92">
        <f>Table13[[#This Row],[Staff Delta]]</f>
        <v>7</v>
      </c>
      <c r="G538" s="93" t="str">
        <f>Table13[[#This Row],[Economic Sector]]</f>
        <v>Agriculture, forestry and fishing</v>
      </c>
    </row>
    <row r="539" spans="1:7">
      <c r="A539" s="20" t="str">
        <f>Table13[[#This Row],[Governorate]]</f>
        <v>Mafraq</v>
      </c>
      <c r="B539" s="82">
        <f t="shared" si="16"/>
        <v>1</v>
      </c>
      <c r="C539" s="82">
        <v>0</v>
      </c>
      <c r="D539" s="82">
        <f>Table13[[#This Row],[Women-led]]</f>
        <v>1</v>
      </c>
      <c r="E539" s="83">
        <f t="shared" si="17"/>
        <v>1</v>
      </c>
      <c r="F539" s="92">
        <f>Table13[[#This Row],[Staff Delta]]</f>
        <v>0</v>
      </c>
      <c r="G539" s="93" t="str">
        <f>Table13[[#This Row],[Economic Sector]]</f>
        <v>Agriculture, forestry and fishing</v>
      </c>
    </row>
    <row r="540" spans="1:7">
      <c r="A540" s="20" t="str">
        <f>Table13[[#This Row],[Governorate]]</f>
        <v>Mafraq</v>
      </c>
      <c r="B540" s="82">
        <f t="shared" si="16"/>
        <v>1</v>
      </c>
      <c r="C540" s="82">
        <v>0</v>
      </c>
      <c r="D540" s="82">
        <f>Table13[[#This Row],[Women-led]]</f>
        <v>1</v>
      </c>
      <c r="E540" s="83">
        <f t="shared" si="17"/>
        <v>1</v>
      </c>
      <c r="F540" s="92">
        <f>Table13[[#This Row],[Staff Delta]]</f>
        <v>0</v>
      </c>
      <c r="G540" s="93" t="str">
        <f>Table13[[#This Row],[Economic Sector]]</f>
        <v>Manufacturing</v>
      </c>
    </row>
    <row r="541" spans="1:7">
      <c r="A541" s="20" t="str">
        <f>Table13[[#This Row],[Governorate]]</f>
        <v>Mafraq</v>
      </c>
      <c r="B541" s="82">
        <f t="shared" si="16"/>
        <v>1</v>
      </c>
      <c r="C541" s="82">
        <v>0</v>
      </c>
      <c r="D541" s="82">
        <f>Table13[[#This Row],[Women-led]]</f>
        <v>1</v>
      </c>
      <c r="E541" s="83">
        <f t="shared" si="17"/>
        <v>1</v>
      </c>
      <c r="F541" s="92">
        <f>Table13[[#This Row],[Staff Delta]]</f>
        <v>1</v>
      </c>
      <c r="G541" s="93" t="str">
        <f>Table13[[#This Row],[Economic Sector]]</f>
        <v>Human health and social work activities</v>
      </c>
    </row>
    <row r="542" spans="1:7">
      <c r="A542" s="20" t="str">
        <f>Table13[[#This Row],[Governorate]]</f>
        <v>Mafraq</v>
      </c>
      <c r="B542" s="82">
        <f t="shared" si="16"/>
        <v>1</v>
      </c>
      <c r="C542" s="82">
        <v>0</v>
      </c>
      <c r="D542" s="82">
        <f>Table13[[#This Row],[Women-led]]</f>
        <v>1</v>
      </c>
      <c r="E542" s="83">
        <f t="shared" si="17"/>
        <v>1</v>
      </c>
      <c r="F542" s="92">
        <f>Table13[[#This Row],[Staff Delta]]</f>
        <v>0</v>
      </c>
      <c r="G542" s="93" t="str">
        <f>Table13[[#This Row],[Economic Sector]]</f>
        <v>Agriculture, forestry and fishing</v>
      </c>
    </row>
    <row r="543" spans="1:7">
      <c r="A543" s="20" t="str">
        <f>Table13[[#This Row],[Governorate]]</f>
        <v>Mafraq</v>
      </c>
      <c r="B543" s="82">
        <f t="shared" si="16"/>
        <v>1</v>
      </c>
      <c r="C543" s="82">
        <v>0</v>
      </c>
      <c r="D543" s="82">
        <f>Table13[[#This Row],[Women-led]]</f>
        <v>1</v>
      </c>
      <c r="E543" s="83">
        <f t="shared" si="17"/>
        <v>1</v>
      </c>
      <c r="F543" s="92">
        <f>Table13[[#This Row],[Staff Delta]]</f>
        <v>0</v>
      </c>
      <c r="G543" s="93" t="str">
        <f>Table13[[#This Row],[Economic Sector]]</f>
        <v>Agriculture, forestry and fishing</v>
      </c>
    </row>
    <row r="544" spans="1:7">
      <c r="A544" s="20" t="str">
        <f>Table13[[#This Row],[Governorate]]</f>
        <v>Mafraq</v>
      </c>
      <c r="B544" s="82">
        <f t="shared" si="16"/>
        <v>1</v>
      </c>
      <c r="C544" s="82">
        <v>1</v>
      </c>
      <c r="D544" s="82">
        <f>Table13[[#This Row],[Women-led]]</f>
        <v>0</v>
      </c>
      <c r="E544" s="83">
        <f t="shared" si="17"/>
        <v>0</v>
      </c>
      <c r="F544" s="92">
        <f>Table13[[#This Row],[Staff Delta]]</f>
        <v>0</v>
      </c>
      <c r="G544" s="93" t="str">
        <f>Table13[[#This Row],[Economic Sector]]</f>
        <v>Agriculture, forestry and fishing</v>
      </c>
    </row>
    <row r="545" spans="1:7">
      <c r="A545" s="20" t="str">
        <f>Table13[[#This Row],[Governorate]]</f>
        <v>Mafraq</v>
      </c>
      <c r="B545" s="82">
        <f t="shared" si="16"/>
        <v>1</v>
      </c>
      <c r="C545" s="82">
        <v>1</v>
      </c>
      <c r="D545" s="82">
        <f>Table13[[#This Row],[Women-led]]</f>
        <v>0</v>
      </c>
      <c r="E545" s="83">
        <f t="shared" si="17"/>
        <v>0</v>
      </c>
      <c r="F545" s="92">
        <f>Table13[[#This Row],[Staff Delta]]</f>
        <v>1</v>
      </c>
      <c r="G545" s="93" t="str">
        <f>Table13[[#This Row],[Economic Sector]]</f>
        <v>Information and communication</v>
      </c>
    </row>
    <row r="546" spans="1:7">
      <c r="A546" s="20" t="str">
        <f>Table13[[#This Row],[Governorate]]</f>
        <v>Mafraq</v>
      </c>
      <c r="B546" s="82">
        <f t="shared" si="16"/>
        <v>1</v>
      </c>
      <c r="C546" s="82">
        <v>0</v>
      </c>
      <c r="D546" s="82">
        <f>Table13[[#This Row],[Women-led]]</f>
        <v>1</v>
      </c>
      <c r="E546" s="83">
        <f t="shared" si="17"/>
        <v>1</v>
      </c>
      <c r="F546" s="92">
        <f>Table13[[#This Row],[Staff Delta]]</f>
        <v>1</v>
      </c>
      <c r="G546" s="93" t="str">
        <f>Table13[[#This Row],[Economic Sector]]</f>
        <v>Manufacturing</v>
      </c>
    </row>
    <row r="547" spans="1:7">
      <c r="A547" s="20" t="str">
        <f>Table13[[#This Row],[Governorate]]</f>
        <v>Mafraq</v>
      </c>
      <c r="B547" s="82">
        <f t="shared" si="16"/>
        <v>1</v>
      </c>
      <c r="C547" s="82">
        <v>0</v>
      </c>
      <c r="D547" s="82">
        <f>Table13[[#This Row],[Women-led]]</f>
        <v>1</v>
      </c>
      <c r="E547" s="83">
        <f t="shared" si="17"/>
        <v>1</v>
      </c>
      <c r="F547" s="92">
        <f>Table13[[#This Row],[Staff Delta]]</f>
        <v>1</v>
      </c>
      <c r="G547" s="93">
        <f>Table13[[#This Row],[Economic Sector]]</f>
        <v>0</v>
      </c>
    </row>
    <row r="548" spans="1:7">
      <c r="A548" s="20" t="str">
        <f>Table13[[#This Row],[Governorate]]</f>
        <v>Mafraq</v>
      </c>
      <c r="B548" s="82">
        <f t="shared" si="16"/>
        <v>1</v>
      </c>
      <c r="C548" s="82">
        <v>0</v>
      </c>
      <c r="D548" s="82">
        <f>Table13[[#This Row],[Women-led]]</f>
        <v>1</v>
      </c>
      <c r="E548" s="83">
        <f t="shared" si="17"/>
        <v>1</v>
      </c>
      <c r="F548" s="92">
        <f>Table13[[#This Row],[Staff Delta]]</f>
        <v>1</v>
      </c>
      <c r="G548" s="93" t="str">
        <f>Table13[[#This Row],[Economic Sector]]</f>
        <v>Education</v>
      </c>
    </row>
    <row r="549" spans="1:7">
      <c r="A549" s="20" t="str">
        <f>Table13[[#This Row],[Governorate]]</f>
        <v>Mafraq</v>
      </c>
      <c r="B549" s="82">
        <f t="shared" si="16"/>
        <v>1</v>
      </c>
      <c r="C549" s="82">
        <v>0</v>
      </c>
      <c r="D549" s="82">
        <f>Table13[[#This Row],[Women-led]]</f>
        <v>1</v>
      </c>
      <c r="E549" s="83">
        <f t="shared" si="17"/>
        <v>1</v>
      </c>
      <c r="F549" s="92">
        <f>Table13[[#This Row],[Staff Delta]]</f>
        <v>1</v>
      </c>
      <c r="G549" s="93" t="str">
        <f>Table13[[#This Row],[Economic Sector]]</f>
        <v>Accommodation and food service activities</v>
      </c>
    </row>
    <row r="550" spans="1:7">
      <c r="A550" s="20" t="str">
        <f>Table13[[#This Row],[Governorate]]</f>
        <v>Mafraq</v>
      </c>
      <c r="B550" s="82">
        <f t="shared" si="16"/>
        <v>1</v>
      </c>
      <c r="C550" s="82">
        <v>1</v>
      </c>
      <c r="D550" s="82">
        <f>Table13[[#This Row],[Women-led]]</f>
        <v>0</v>
      </c>
      <c r="E550" s="83">
        <f t="shared" si="17"/>
        <v>0</v>
      </c>
      <c r="F550" s="92">
        <f>Table13[[#This Row],[Staff Delta]]</f>
        <v>1</v>
      </c>
      <c r="G550" s="93" t="str">
        <f>Table13[[#This Row],[Economic Sector]]</f>
        <v>Education</v>
      </c>
    </row>
    <row r="551" spans="1:7">
      <c r="A551" s="20" t="str">
        <f>Table13[[#This Row],[Governorate]]</f>
        <v>Mafraq</v>
      </c>
      <c r="B551" s="82">
        <f t="shared" si="16"/>
        <v>1</v>
      </c>
      <c r="C551" s="82">
        <v>0</v>
      </c>
      <c r="D551" s="82">
        <f>Table13[[#This Row],[Women-led]]</f>
        <v>1</v>
      </c>
      <c r="E551" s="83">
        <f t="shared" si="17"/>
        <v>1</v>
      </c>
      <c r="F551" s="92">
        <f>Table13[[#This Row],[Staff Delta]]</f>
        <v>0</v>
      </c>
      <c r="G551" s="93">
        <f>Table13[[#This Row],[Economic Sector]]</f>
        <v>0</v>
      </c>
    </row>
    <row r="552" spans="1:7">
      <c r="A552" s="20" t="str">
        <f>Table13[[#This Row],[Governorate]]</f>
        <v>Mafraq</v>
      </c>
      <c r="B552" s="82">
        <f t="shared" si="16"/>
        <v>1</v>
      </c>
      <c r="C552" s="82">
        <v>0</v>
      </c>
      <c r="D552" s="82">
        <f>Table13[[#This Row],[Women-led]]</f>
        <v>1</v>
      </c>
      <c r="E552" s="83">
        <f t="shared" si="17"/>
        <v>1</v>
      </c>
      <c r="F552" s="92">
        <f>Table13[[#This Row],[Staff Delta]]</f>
        <v>0</v>
      </c>
      <c r="G552" s="93" t="str">
        <f>Table13[[#This Row],[Economic Sector]]</f>
        <v>Manufacturing</v>
      </c>
    </row>
    <row r="553" spans="1:7">
      <c r="A553" s="20" t="str">
        <f>Table13[[#This Row],[Governorate]]</f>
        <v>Mafraq</v>
      </c>
      <c r="B553" s="82">
        <f t="shared" si="16"/>
        <v>1</v>
      </c>
      <c r="C553" s="82">
        <v>1</v>
      </c>
      <c r="D553" s="82">
        <f>Table13[[#This Row],[Women-led]]</f>
        <v>0</v>
      </c>
      <c r="E553" s="83">
        <f t="shared" si="17"/>
        <v>0</v>
      </c>
      <c r="F553" s="92">
        <f>Table13[[#This Row],[Staff Delta]]</f>
        <v>0</v>
      </c>
      <c r="G553" s="93" t="str">
        <f>Table13[[#This Row],[Economic Sector]]</f>
        <v>Agriculture, forestry and fishing</v>
      </c>
    </row>
    <row r="554" spans="1:7">
      <c r="A554" s="20" t="str">
        <f>Table13[[#This Row],[Governorate]]</f>
        <v>Mafraq</v>
      </c>
      <c r="B554" s="82">
        <f t="shared" si="16"/>
        <v>1</v>
      </c>
      <c r="C554" s="82">
        <v>0</v>
      </c>
      <c r="D554" s="82">
        <f>Table13[[#This Row],[Women-led]]</f>
        <v>1</v>
      </c>
      <c r="E554" s="83">
        <f t="shared" si="17"/>
        <v>1</v>
      </c>
      <c r="F554" s="92">
        <f>Table13[[#This Row],[Staff Delta]]</f>
        <v>0</v>
      </c>
      <c r="G554" s="93" t="str">
        <f>Table13[[#This Row],[Economic Sector]]</f>
        <v>Agriculture, forestry and fishing</v>
      </c>
    </row>
    <row r="555" spans="1:7">
      <c r="A555" s="20" t="str">
        <f>Table13[[#This Row],[Governorate]]</f>
        <v>Mafraq</v>
      </c>
      <c r="B555" s="82">
        <f t="shared" si="16"/>
        <v>1</v>
      </c>
      <c r="C555" s="82">
        <v>0</v>
      </c>
      <c r="D555" s="82">
        <f>Table13[[#This Row],[Women-led]]</f>
        <v>1</v>
      </c>
      <c r="E555" s="83">
        <f t="shared" si="17"/>
        <v>1</v>
      </c>
      <c r="F555" s="92">
        <f>Table13[[#This Row],[Staff Delta]]</f>
        <v>0</v>
      </c>
      <c r="G555" s="93" t="str">
        <f>Table13[[#This Row],[Economic Sector]]</f>
        <v>Accommodation and food service activities</v>
      </c>
    </row>
    <row r="556" spans="1:7">
      <c r="A556" s="20" t="str">
        <f>Table13[[#This Row],[Governorate]]</f>
        <v>Mafraq</v>
      </c>
      <c r="B556" s="82">
        <f t="shared" si="16"/>
        <v>1</v>
      </c>
      <c r="C556" s="82">
        <v>0</v>
      </c>
      <c r="D556" s="82">
        <f>Table13[[#This Row],[Women-led]]</f>
        <v>1</v>
      </c>
      <c r="E556" s="83">
        <f t="shared" si="17"/>
        <v>1</v>
      </c>
      <c r="F556" s="92">
        <f>Table13[[#This Row],[Staff Delta]]</f>
        <v>0</v>
      </c>
      <c r="G556" s="93" t="str">
        <f>Table13[[#This Row],[Economic Sector]]</f>
        <v>Human health and social work activities</v>
      </c>
    </row>
    <row r="557" spans="1:7">
      <c r="A557" s="20" t="str">
        <f>Table13[[#This Row],[Governorate]]</f>
        <v>Mafraq</v>
      </c>
      <c r="B557" s="82">
        <f t="shared" si="16"/>
        <v>1</v>
      </c>
      <c r="C557" s="82">
        <v>0</v>
      </c>
      <c r="D557" s="82">
        <f>Table13[[#This Row],[Women-led]]</f>
        <v>1</v>
      </c>
      <c r="E557" s="83">
        <f t="shared" si="17"/>
        <v>1</v>
      </c>
      <c r="F557" s="92">
        <f>Table13[[#This Row],[Staff Delta]]</f>
        <v>1</v>
      </c>
      <c r="G557" s="93" t="str">
        <f>Table13[[#This Row],[Economic Sector]]</f>
        <v>Manufacturing</v>
      </c>
    </row>
    <row r="558" spans="1:7">
      <c r="A558" s="20" t="str">
        <f>Table13[[#This Row],[Governorate]]</f>
        <v>Mafraq</v>
      </c>
      <c r="B558" s="82">
        <f t="shared" si="16"/>
        <v>1</v>
      </c>
      <c r="C558" s="82">
        <v>0</v>
      </c>
      <c r="D558" s="82">
        <f>Table13[[#This Row],[Women-led]]</f>
        <v>1</v>
      </c>
      <c r="E558" s="83">
        <f t="shared" si="17"/>
        <v>1</v>
      </c>
      <c r="F558" s="92">
        <f>Table13[[#This Row],[Staff Delta]]</f>
        <v>0</v>
      </c>
      <c r="G558" s="93" t="str">
        <f>Table13[[#This Row],[Economic Sector]]</f>
        <v>Manufacturing</v>
      </c>
    </row>
    <row r="559" spans="1:7">
      <c r="A559" s="20" t="str">
        <f>Table13[[#This Row],[Governorate]]</f>
        <v>Mafraq</v>
      </c>
      <c r="B559" s="82">
        <f t="shared" si="16"/>
        <v>1</v>
      </c>
      <c r="C559" s="82">
        <v>1</v>
      </c>
      <c r="D559" s="82">
        <f>Table13[[#This Row],[Women-led]]</f>
        <v>0</v>
      </c>
      <c r="E559" s="83">
        <f t="shared" si="17"/>
        <v>0</v>
      </c>
      <c r="F559" s="92">
        <f>Table13[[#This Row],[Staff Delta]]</f>
        <v>5</v>
      </c>
      <c r="G559" s="93" t="str">
        <f>Table13[[#This Row],[Economic Sector]]</f>
        <v>Agriculture, forestry and fishing</v>
      </c>
    </row>
    <row r="560" spans="1:7">
      <c r="A560" s="20" t="str">
        <f>Table13[[#This Row],[Governorate]]</f>
        <v>Mafraq</v>
      </c>
      <c r="B560" s="82">
        <f t="shared" si="16"/>
        <v>1</v>
      </c>
      <c r="C560" s="82">
        <v>1</v>
      </c>
      <c r="D560" s="82">
        <f>Table13[[#This Row],[Women-led]]</f>
        <v>0</v>
      </c>
      <c r="E560" s="83">
        <f t="shared" si="17"/>
        <v>0</v>
      </c>
      <c r="F560" s="92">
        <f>Table13[[#This Row],[Staff Delta]]</f>
        <v>2</v>
      </c>
      <c r="G560" s="93" t="str">
        <f>Table13[[#This Row],[Economic Sector]]</f>
        <v>Administrative and support service activities</v>
      </c>
    </row>
    <row r="561" spans="1:7">
      <c r="A561" s="20" t="str">
        <f>Table13[[#This Row],[Governorate]]</f>
        <v>Mafraq</v>
      </c>
      <c r="B561" s="82">
        <f t="shared" si="16"/>
        <v>1</v>
      </c>
      <c r="C561" s="82">
        <v>0</v>
      </c>
      <c r="D561" s="82">
        <f>Table13[[#This Row],[Women-led]]</f>
        <v>1</v>
      </c>
      <c r="E561" s="83">
        <f t="shared" si="17"/>
        <v>1</v>
      </c>
      <c r="F561" s="92">
        <f>Table13[[#This Row],[Staff Delta]]</f>
        <v>3</v>
      </c>
      <c r="G561" s="93" t="str">
        <f>Table13[[#This Row],[Economic Sector]]</f>
        <v>Manufacturing</v>
      </c>
    </row>
    <row r="562" spans="1:7">
      <c r="A562" s="20" t="str">
        <f>Table13[[#This Row],[Governorate]]</f>
        <v>Mafraq</v>
      </c>
      <c r="B562" s="82">
        <f t="shared" si="16"/>
        <v>1</v>
      </c>
      <c r="C562" s="82">
        <v>0</v>
      </c>
      <c r="D562" s="82">
        <f>Table13[[#This Row],[Women-led]]</f>
        <v>1</v>
      </c>
      <c r="E562" s="83">
        <f t="shared" si="17"/>
        <v>1</v>
      </c>
      <c r="F562" s="92">
        <f>Table13[[#This Row],[Staff Delta]]</f>
        <v>3</v>
      </c>
      <c r="G562" s="93" t="str">
        <f>Table13[[#This Row],[Economic Sector]]</f>
        <v>Accommodation and food service activities</v>
      </c>
    </row>
    <row r="563" spans="1:7">
      <c r="A563" s="20" t="str">
        <f>Table13[[#This Row],[Governorate]]</f>
        <v>Mafraq</v>
      </c>
      <c r="B563" s="82">
        <f t="shared" si="16"/>
        <v>1</v>
      </c>
      <c r="C563" s="82">
        <v>0</v>
      </c>
      <c r="D563" s="82">
        <f>Table13[[#This Row],[Women-led]]</f>
        <v>1</v>
      </c>
      <c r="E563" s="83">
        <f t="shared" si="17"/>
        <v>1</v>
      </c>
      <c r="F563" s="92">
        <f>Table13[[#This Row],[Staff Delta]]</f>
        <v>4</v>
      </c>
      <c r="G563" s="93" t="str">
        <f>Table13[[#This Row],[Economic Sector]]</f>
        <v>Agriculture, forestry and fishing</v>
      </c>
    </row>
    <row r="564" spans="1:7">
      <c r="A564" s="20" t="str">
        <f>Table13[[#This Row],[Governorate]]</f>
        <v>Mafraq</v>
      </c>
      <c r="B564" s="82">
        <f t="shared" si="16"/>
        <v>1</v>
      </c>
      <c r="C564" s="82">
        <v>0</v>
      </c>
      <c r="D564" s="82">
        <f>Table13[[#This Row],[Women-led]]</f>
        <v>1</v>
      </c>
      <c r="E564" s="83">
        <f t="shared" si="17"/>
        <v>1</v>
      </c>
      <c r="F564" s="92">
        <f>Table13[[#This Row],[Staff Delta]]</f>
        <v>7</v>
      </c>
      <c r="G564" s="93" t="str">
        <f>Table13[[#This Row],[Economic Sector]]</f>
        <v>Agriculture, forestry and fishing</v>
      </c>
    </row>
    <row r="565" spans="1:7">
      <c r="A565" s="20" t="str">
        <f>Table13[[#This Row],[Governorate]]</f>
        <v>Mafraq</v>
      </c>
      <c r="B565" s="82">
        <f t="shared" si="16"/>
        <v>1</v>
      </c>
      <c r="C565" s="82">
        <v>1</v>
      </c>
      <c r="D565" s="82">
        <f>Table13[[#This Row],[Women-led]]</f>
        <v>0</v>
      </c>
      <c r="E565" s="83">
        <f t="shared" si="17"/>
        <v>0</v>
      </c>
      <c r="F565" s="92">
        <f>Table13[[#This Row],[Staff Delta]]</f>
        <v>0</v>
      </c>
      <c r="G565" s="93" t="str">
        <f>Table13[[#This Row],[Economic Sector]]</f>
        <v>Administrative and support service activities</v>
      </c>
    </row>
    <row r="566" spans="1:7">
      <c r="A566" s="20" t="str">
        <f>Table13[[#This Row],[Governorate]]</f>
        <v>Mafraq</v>
      </c>
      <c r="B566" s="82">
        <f t="shared" si="16"/>
        <v>1</v>
      </c>
      <c r="C566" s="82">
        <v>1</v>
      </c>
      <c r="D566" s="82">
        <f>Table13[[#This Row],[Women-led]]</f>
        <v>0</v>
      </c>
      <c r="E566" s="83">
        <f t="shared" si="17"/>
        <v>0</v>
      </c>
      <c r="F566" s="92">
        <f>Table13[[#This Row],[Staff Delta]]</f>
        <v>0</v>
      </c>
      <c r="G566" s="93" t="str">
        <f>Table13[[#This Row],[Economic Sector]]</f>
        <v>Manufacturing</v>
      </c>
    </row>
    <row r="567" spans="1:7">
      <c r="A567" s="20" t="str">
        <f>Table13[[#This Row],[Governorate]]</f>
        <v>Mafraq</v>
      </c>
      <c r="B567" s="82">
        <f t="shared" si="16"/>
        <v>1</v>
      </c>
      <c r="C567" s="82">
        <v>0</v>
      </c>
      <c r="D567" s="82">
        <f>Table13[[#This Row],[Women-led]]</f>
        <v>1</v>
      </c>
      <c r="E567" s="83">
        <f t="shared" si="17"/>
        <v>1</v>
      </c>
      <c r="F567" s="92">
        <f>Table13[[#This Row],[Staff Delta]]</f>
        <v>0</v>
      </c>
      <c r="G567" s="93" t="str">
        <f>Table13[[#This Row],[Economic Sector]]</f>
        <v>Manufacturing</v>
      </c>
    </row>
    <row r="568" spans="1:7">
      <c r="A568" s="20" t="str">
        <f>Table13[[#This Row],[Governorate]]</f>
        <v>Mafraq</v>
      </c>
      <c r="B568" s="82">
        <f t="shared" si="16"/>
        <v>1</v>
      </c>
      <c r="C568" s="82">
        <v>0</v>
      </c>
      <c r="D568" s="82">
        <f>Table13[[#This Row],[Women-led]]</f>
        <v>1</v>
      </c>
      <c r="E568" s="83">
        <f t="shared" si="17"/>
        <v>1</v>
      </c>
      <c r="F568" s="92">
        <f>Table13[[#This Row],[Staff Delta]]</f>
        <v>0</v>
      </c>
      <c r="G568" s="93" t="str">
        <f>Table13[[#This Row],[Economic Sector]]</f>
        <v>Manufacturing</v>
      </c>
    </row>
    <row r="569" spans="1:7">
      <c r="A569" s="20" t="str">
        <f>Table13[[#This Row],[Governorate]]</f>
        <v>Mafraq</v>
      </c>
      <c r="B569" s="82">
        <f t="shared" si="16"/>
        <v>1</v>
      </c>
      <c r="C569" s="82">
        <v>0</v>
      </c>
      <c r="D569" s="82">
        <f>Table13[[#This Row],[Women-led]]</f>
        <v>1</v>
      </c>
      <c r="E569" s="83">
        <f t="shared" si="17"/>
        <v>1</v>
      </c>
      <c r="F569" s="92">
        <f>Table13[[#This Row],[Staff Delta]]</f>
        <v>4</v>
      </c>
      <c r="G569" s="93" t="str">
        <f>Table13[[#This Row],[Economic Sector]]</f>
        <v>Agriculture, forestry and fishing</v>
      </c>
    </row>
    <row r="570" spans="1:7">
      <c r="A570" s="20" t="str">
        <f>Table13[[#This Row],[Governorate]]</f>
        <v>Mafraq</v>
      </c>
      <c r="B570" s="82">
        <f t="shared" si="16"/>
        <v>1</v>
      </c>
      <c r="C570" s="82">
        <v>0</v>
      </c>
      <c r="D570" s="82">
        <f>Table13[[#This Row],[Women-led]]</f>
        <v>1</v>
      </c>
      <c r="E570" s="83">
        <f t="shared" si="17"/>
        <v>1</v>
      </c>
      <c r="F570" s="92">
        <f>Table13[[#This Row],[Staff Delta]]</f>
        <v>0</v>
      </c>
      <c r="G570" s="93" t="str">
        <f>Table13[[#This Row],[Economic Sector]]</f>
        <v>Manufacturing</v>
      </c>
    </row>
    <row r="571" spans="1:7">
      <c r="A571" s="20" t="str">
        <f>Table13[[#This Row],[Governorate]]</f>
        <v>Mafraq</v>
      </c>
      <c r="B571" s="82">
        <f t="shared" si="16"/>
        <v>1</v>
      </c>
      <c r="C571" s="82">
        <v>0</v>
      </c>
      <c r="D571" s="82">
        <f>Table13[[#This Row],[Women-led]]</f>
        <v>1</v>
      </c>
      <c r="E571" s="83">
        <f t="shared" si="17"/>
        <v>1</v>
      </c>
      <c r="F571" s="92">
        <f>Table13[[#This Row],[Staff Delta]]</f>
        <v>0</v>
      </c>
      <c r="G571" s="93" t="str">
        <f>Table13[[#This Row],[Economic Sector]]</f>
        <v>Manufacturing</v>
      </c>
    </row>
    <row r="572" spans="1:7">
      <c r="A572" s="20" t="str">
        <f>Table13[[#This Row],[Governorate]]</f>
        <v>Mafraq</v>
      </c>
      <c r="B572" s="82">
        <f t="shared" si="16"/>
        <v>1</v>
      </c>
      <c r="C572" s="82">
        <v>0</v>
      </c>
      <c r="D572" s="82">
        <f>Table13[[#This Row],[Women-led]]</f>
        <v>1</v>
      </c>
      <c r="E572" s="83">
        <f t="shared" si="17"/>
        <v>1</v>
      </c>
      <c r="F572" s="92">
        <f>Table13[[#This Row],[Staff Delta]]</f>
        <v>0</v>
      </c>
      <c r="G572" s="93" t="str">
        <f>Table13[[#This Row],[Economic Sector]]</f>
        <v>Manufacturing</v>
      </c>
    </row>
    <row r="573" spans="1:7">
      <c r="A573" s="20" t="str">
        <f>Table13[[#This Row],[Governorate]]</f>
        <v>Mafraq</v>
      </c>
      <c r="B573" s="82">
        <f t="shared" si="16"/>
        <v>1</v>
      </c>
      <c r="C573" s="82">
        <v>0</v>
      </c>
      <c r="D573" s="82">
        <f>Table13[[#This Row],[Women-led]]</f>
        <v>1</v>
      </c>
      <c r="E573" s="83">
        <f t="shared" si="17"/>
        <v>1</v>
      </c>
      <c r="F573" s="92">
        <f>Table13[[#This Row],[Staff Delta]]</f>
        <v>0</v>
      </c>
      <c r="G573" s="93" t="str">
        <f>Table13[[#This Row],[Economic Sector]]</f>
        <v>Manufacturing</v>
      </c>
    </row>
    <row r="574" spans="1:7">
      <c r="A574" s="20" t="str">
        <f>Table13[[#This Row],[Governorate]]</f>
        <v>Mafraq</v>
      </c>
      <c r="B574" s="82">
        <f t="shared" si="16"/>
        <v>1</v>
      </c>
      <c r="C574" s="82">
        <v>0</v>
      </c>
      <c r="D574" s="82">
        <f>Table13[[#This Row],[Women-led]]</f>
        <v>1</v>
      </c>
      <c r="E574" s="83">
        <f t="shared" si="17"/>
        <v>1</v>
      </c>
      <c r="F574" s="92">
        <f>Table13[[#This Row],[Staff Delta]]</f>
        <v>0</v>
      </c>
      <c r="G574" s="93" t="str">
        <f>Table13[[#This Row],[Economic Sector]]</f>
        <v>Arts, entertainment and recreation</v>
      </c>
    </row>
    <row r="575" spans="1:7">
      <c r="A575" s="20" t="str">
        <f>Table13[[#This Row],[Governorate]]</f>
        <v>Mafraq</v>
      </c>
      <c r="B575" s="82">
        <f t="shared" si="16"/>
        <v>1</v>
      </c>
      <c r="C575" s="82">
        <v>0</v>
      </c>
      <c r="D575" s="82">
        <f>Table13[[#This Row],[Women-led]]</f>
        <v>1</v>
      </c>
      <c r="E575" s="83">
        <f t="shared" si="17"/>
        <v>1</v>
      </c>
      <c r="F575" s="92">
        <f>Table13[[#This Row],[Staff Delta]]</f>
        <v>0</v>
      </c>
      <c r="G575" s="93" t="str">
        <f>Table13[[#This Row],[Economic Sector]]</f>
        <v>Professional, scientific and technical activities</v>
      </c>
    </row>
    <row r="576" spans="1:7">
      <c r="A576" s="20" t="str">
        <f>Table13[[#This Row],[Governorate]]</f>
        <v>Mafraq</v>
      </c>
      <c r="B576" s="82">
        <f t="shared" si="16"/>
        <v>1</v>
      </c>
      <c r="C576" s="82">
        <v>0</v>
      </c>
      <c r="D576" s="82">
        <f>Table13[[#This Row],[Women-led]]</f>
        <v>1</v>
      </c>
      <c r="E576" s="83">
        <f t="shared" si="17"/>
        <v>1</v>
      </c>
      <c r="F576" s="92">
        <f>Table13[[#This Row],[Staff Delta]]</f>
        <v>0</v>
      </c>
      <c r="G576" s="93" t="str">
        <f>Table13[[#This Row],[Economic Sector]]</f>
        <v>Human health and social work activities</v>
      </c>
    </row>
    <row r="577" spans="1:7">
      <c r="A577" s="20" t="str">
        <f>Table13[[#This Row],[Governorate]]</f>
        <v>Mafraq</v>
      </c>
      <c r="B577" s="82">
        <f t="shared" si="16"/>
        <v>1</v>
      </c>
      <c r="C577" s="82">
        <v>1</v>
      </c>
      <c r="D577" s="82">
        <f>Table13[[#This Row],[Women-led]]</f>
        <v>0</v>
      </c>
      <c r="E577" s="83">
        <f t="shared" si="17"/>
        <v>0</v>
      </c>
      <c r="F577" s="92">
        <f>Table13[[#This Row],[Staff Delta]]</f>
        <v>0</v>
      </c>
      <c r="G577" s="93" t="str">
        <f>Table13[[#This Row],[Economic Sector]]</f>
        <v>Agriculture, forestry and fishing</v>
      </c>
    </row>
    <row r="578" spans="1:7">
      <c r="A578" s="20" t="str">
        <f>Table13[[#This Row],[Governorate]]</f>
        <v>Mafraq</v>
      </c>
      <c r="B578" s="82">
        <f t="shared" si="16"/>
        <v>1</v>
      </c>
      <c r="C578" s="82">
        <v>1</v>
      </c>
      <c r="D578" s="82">
        <f>Table13[[#This Row],[Women-led]]</f>
        <v>0</v>
      </c>
      <c r="E578" s="83">
        <f t="shared" si="17"/>
        <v>0</v>
      </c>
      <c r="F578" s="92">
        <f>Table13[[#This Row],[Staff Delta]]</f>
        <v>0</v>
      </c>
      <c r="G578" s="93" t="str">
        <f>Table13[[#This Row],[Economic Sector]]</f>
        <v>Agriculture, forestry and fishing</v>
      </c>
    </row>
    <row r="579" spans="1:7">
      <c r="A579" s="20" t="str">
        <f>Table13[[#This Row],[Governorate]]</f>
        <v>Mafraq</v>
      </c>
      <c r="B579" s="82">
        <f t="shared" si="16"/>
        <v>1</v>
      </c>
      <c r="C579" s="82">
        <v>0</v>
      </c>
      <c r="D579" s="82">
        <f>Table13[[#This Row],[Women-led]]</f>
        <v>1</v>
      </c>
      <c r="E579" s="83">
        <f t="shared" si="17"/>
        <v>1</v>
      </c>
      <c r="F579" s="92">
        <f>Table13[[#This Row],[Staff Delta]]</f>
        <v>0</v>
      </c>
      <c r="G579" s="93" t="str">
        <f>Table13[[#This Row],[Economic Sector]]</f>
        <v>Manufacturing</v>
      </c>
    </row>
    <row r="580" spans="1:7">
      <c r="A580" s="20" t="str">
        <f>Table13[[#This Row],[Governorate]]</f>
        <v>Mafraq</v>
      </c>
      <c r="B580" s="82">
        <f t="shared" si="16"/>
        <v>1</v>
      </c>
      <c r="C580" s="82">
        <v>0</v>
      </c>
      <c r="D580" s="82">
        <f>Table13[[#This Row],[Women-led]]</f>
        <v>1</v>
      </c>
      <c r="E580" s="83">
        <f t="shared" si="17"/>
        <v>1</v>
      </c>
      <c r="F580" s="92">
        <f>Table13[[#This Row],[Staff Delta]]</f>
        <v>0</v>
      </c>
      <c r="G580" s="93" t="str">
        <f>Table13[[#This Row],[Economic Sector]]</f>
        <v>Manufacturing</v>
      </c>
    </row>
    <row r="581" spans="1:7">
      <c r="A581" s="20" t="str">
        <f>Table13[[#This Row],[Governorate]]</f>
        <v>Mafraq</v>
      </c>
      <c r="B581" s="82">
        <f t="shared" si="16"/>
        <v>1</v>
      </c>
      <c r="C581" s="82">
        <v>0</v>
      </c>
      <c r="D581" s="82">
        <f>Table13[[#This Row],[Women-led]]</f>
        <v>1</v>
      </c>
      <c r="E581" s="83">
        <f t="shared" si="17"/>
        <v>1</v>
      </c>
      <c r="F581" s="92">
        <f>Table13[[#This Row],[Staff Delta]]</f>
        <v>1</v>
      </c>
      <c r="G581" s="93" t="str">
        <f>Table13[[#This Row],[Economic Sector]]</f>
        <v>Agriculture, forestry and fishing</v>
      </c>
    </row>
    <row r="582" spans="1:7">
      <c r="A582" s="20" t="str">
        <f>Table13[[#This Row],[Governorate]]</f>
        <v>Mafraq</v>
      </c>
      <c r="B582" s="82">
        <f t="shared" ref="B582:B645" si="18">C582+D582</f>
        <v>1</v>
      </c>
      <c r="C582" s="82">
        <v>0</v>
      </c>
      <c r="D582" s="82">
        <f>Table13[[#This Row],[Women-led]]</f>
        <v>1</v>
      </c>
      <c r="E582" s="83">
        <f t="shared" ref="E582:E645" si="19">IF(OR(B582="",D582=""),"",IFERROR(D582/B582,""))</f>
        <v>1</v>
      </c>
      <c r="F582" s="92">
        <f>Table13[[#This Row],[Staff Delta]]</f>
        <v>0</v>
      </c>
      <c r="G582" s="93" t="str">
        <f>Table13[[#This Row],[Economic Sector]]</f>
        <v>Manufacturing</v>
      </c>
    </row>
    <row r="583" spans="1:7">
      <c r="A583" s="20" t="str">
        <f>Table13[[#This Row],[Governorate]]</f>
        <v>Mafraq</v>
      </c>
      <c r="B583" s="82">
        <f t="shared" si="18"/>
        <v>1</v>
      </c>
      <c r="C583" s="82">
        <v>0</v>
      </c>
      <c r="D583" s="82">
        <f>Table13[[#This Row],[Women-led]]</f>
        <v>1</v>
      </c>
      <c r="E583" s="83">
        <f t="shared" si="19"/>
        <v>1</v>
      </c>
      <c r="F583" s="92">
        <f>Table13[[#This Row],[Staff Delta]]</f>
        <v>0</v>
      </c>
      <c r="G583" s="93" t="str">
        <f>Table13[[#This Row],[Economic Sector]]</f>
        <v>Human health and social work activities</v>
      </c>
    </row>
    <row r="584" spans="1:7">
      <c r="A584" s="20" t="str">
        <f>Table13[[#This Row],[Governorate]]</f>
        <v>Mafraq</v>
      </c>
      <c r="B584" s="82">
        <f t="shared" si="18"/>
        <v>1</v>
      </c>
      <c r="C584" s="82">
        <v>0</v>
      </c>
      <c r="D584" s="82">
        <f>Table13[[#This Row],[Women-led]]</f>
        <v>1</v>
      </c>
      <c r="E584" s="83">
        <f t="shared" si="19"/>
        <v>1</v>
      </c>
      <c r="F584" s="92">
        <f>Table13[[#This Row],[Staff Delta]]</f>
        <v>0</v>
      </c>
      <c r="G584" s="93" t="str">
        <f>Table13[[#This Row],[Economic Sector]]</f>
        <v>Agriculture, forestry and fishing</v>
      </c>
    </row>
    <row r="585" spans="1:7">
      <c r="A585" s="20" t="str">
        <f>Table13[[#This Row],[Governorate]]</f>
        <v>Mafraq</v>
      </c>
      <c r="B585" s="82">
        <f t="shared" si="18"/>
        <v>1</v>
      </c>
      <c r="C585" s="82">
        <v>0</v>
      </c>
      <c r="D585" s="82">
        <f>Table13[[#This Row],[Women-led]]</f>
        <v>1</v>
      </c>
      <c r="E585" s="83">
        <f t="shared" si="19"/>
        <v>1</v>
      </c>
      <c r="F585" s="92">
        <f>Table13[[#This Row],[Staff Delta]]</f>
        <v>0</v>
      </c>
      <c r="G585" s="93" t="str">
        <f>Table13[[#This Row],[Economic Sector]]</f>
        <v>Manufacturing</v>
      </c>
    </row>
    <row r="586" spans="1:7">
      <c r="A586" s="20" t="str">
        <f>Table13[[#This Row],[Governorate]]</f>
        <v>Mafraq</v>
      </c>
      <c r="B586" s="82">
        <f t="shared" si="18"/>
        <v>1</v>
      </c>
      <c r="C586" s="82">
        <v>0</v>
      </c>
      <c r="D586" s="82">
        <f>Table13[[#This Row],[Women-led]]</f>
        <v>1</v>
      </c>
      <c r="E586" s="83">
        <f t="shared" si="19"/>
        <v>1</v>
      </c>
      <c r="F586" s="92">
        <f>Table13[[#This Row],[Staff Delta]]</f>
        <v>0</v>
      </c>
      <c r="G586" s="93" t="str">
        <f>Table13[[#This Row],[Economic Sector]]</f>
        <v>Manufacturing</v>
      </c>
    </row>
    <row r="587" spans="1:7">
      <c r="A587" s="20" t="str">
        <f>Table13[[#This Row],[Governorate]]</f>
        <v>Mafraq</v>
      </c>
      <c r="B587" s="82">
        <f t="shared" si="18"/>
        <v>1</v>
      </c>
      <c r="C587" s="82">
        <v>0</v>
      </c>
      <c r="D587" s="82">
        <f>Table13[[#This Row],[Women-led]]</f>
        <v>1</v>
      </c>
      <c r="E587" s="83">
        <f t="shared" si="19"/>
        <v>1</v>
      </c>
      <c r="F587" s="92">
        <f>Table13[[#This Row],[Staff Delta]]</f>
        <v>0</v>
      </c>
      <c r="G587" s="93" t="str">
        <f>Table13[[#This Row],[Economic Sector]]</f>
        <v>Manufacturing</v>
      </c>
    </row>
    <row r="588" spans="1:7">
      <c r="A588" s="20" t="str">
        <f>Table13[[#This Row],[Governorate]]</f>
        <v>Mafraq</v>
      </c>
      <c r="B588" s="82">
        <f t="shared" si="18"/>
        <v>1</v>
      </c>
      <c r="C588" s="82">
        <v>0</v>
      </c>
      <c r="D588" s="82">
        <f>Table13[[#This Row],[Women-led]]</f>
        <v>1</v>
      </c>
      <c r="E588" s="83">
        <f t="shared" si="19"/>
        <v>1</v>
      </c>
      <c r="F588" s="92">
        <f>Table13[[#This Row],[Staff Delta]]</f>
        <v>0</v>
      </c>
      <c r="G588" s="93" t="str">
        <f>Table13[[#This Row],[Economic Sector]]</f>
        <v>Human health and social work activities</v>
      </c>
    </row>
    <row r="589" spans="1:7">
      <c r="A589" s="20" t="str">
        <f>Table13[[#This Row],[Governorate]]</f>
        <v>Mafraq</v>
      </c>
      <c r="B589" s="82">
        <f t="shared" si="18"/>
        <v>1</v>
      </c>
      <c r="C589" s="82">
        <v>0</v>
      </c>
      <c r="D589" s="82">
        <f>Table13[[#This Row],[Women-led]]</f>
        <v>1</v>
      </c>
      <c r="E589" s="83">
        <f t="shared" si="19"/>
        <v>1</v>
      </c>
      <c r="F589" s="92">
        <f>Table13[[#This Row],[Staff Delta]]</f>
        <v>0</v>
      </c>
      <c r="G589" s="93" t="str">
        <f>Table13[[#This Row],[Economic Sector]]</f>
        <v>Manufacturing</v>
      </c>
    </row>
    <row r="590" spans="1:7">
      <c r="A590" s="20" t="str">
        <f>Table13[[#This Row],[Governorate]]</f>
        <v>Mafraq</v>
      </c>
      <c r="B590" s="82">
        <f t="shared" si="18"/>
        <v>1</v>
      </c>
      <c r="C590" s="82">
        <v>0</v>
      </c>
      <c r="D590" s="82">
        <f>Table13[[#This Row],[Women-led]]</f>
        <v>1</v>
      </c>
      <c r="E590" s="83">
        <f t="shared" si="19"/>
        <v>1</v>
      </c>
      <c r="F590" s="92">
        <f>Table13[[#This Row],[Staff Delta]]</f>
        <v>0</v>
      </c>
      <c r="G590" s="93" t="str">
        <f>Table13[[#This Row],[Economic Sector]]</f>
        <v>Agriculture, forestry and fishing</v>
      </c>
    </row>
    <row r="591" spans="1:7">
      <c r="A591" s="20" t="str">
        <f>Table13[[#This Row],[Governorate]]</f>
        <v>Mafraq</v>
      </c>
      <c r="B591" s="82">
        <f t="shared" si="18"/>
        <v>1</v>
      </c>
      <c r="C591" s="82">
        <v>1</v>
      </c>
      <c r="D591" s="82">
        <f>Table13[[#This Row],[Women-led]]</f>
        <v>0</v>
      </c>
      <c r="E591" s="83">
        <f t="shared" si="19"/>
        <v>0</v>
      </c>
      <c r="F591" s="92">
        <f>Table13[[#This Row],[Staff Delta]]</f>
        <v>0</v>
      </c>
      <c r="G591" s="93" t="str">
        <f>Table13[[#This Row],[Economic Sector]]</f>
        <v>Information and communication</v>
      </c>
    </row>
    <row r="592" spans="1:7">
      <c r="A592" s="20" t="str">
        <f>Table13[[#This Row],[Governorate]]</f>
        <v>Mafraq</v>
      </c>
      <c r="B592" s="82">
        <f t="shared" si="18"/>
        <v>1</v>
      </c>
      <c r="C592" s="82">
        <v>1</v>
      </c>
      <c r="D592" s="82">
        <f>Table13[[#This Row],[Women-led]]</f>
        <v>0</v>
      </c>
      <c r="E592" s="83">
        <f t="shared" si="19"/>
        <v>0</v>
      </c>
      <c r="F592" s="92">
        <f>Table13[[#This Row],[Staff Delta]]</f>
        <v>0</v>
      </c>
      <c r="G592" s="93" t="str">
        <f>Table13[[#This Row],[Economic Sector]]</f>
        <v>Accommodation and food service activities</v>
      </c>
    </row>
    <row r="593" spans="1:7">
      <c r="A593" s="20" t="str">
        <f>Table13[[#This Row],[Governorate]]</f>
        <v>Mafraq</v>
      </c>
      <c r="B593" s="82">
        <f t="shared" si="18"/>
        <v>1</v>
      </c>
      <c r="C593" s="82">
        <v>0</v>
      </c>
      <c r="D593" s="82">
        <f>Table13[[#This Row],[Women-led]]</f>
        <v>1</v>
      </c>
      <c r="E593" s="83">
        <f t="shared" si="19"/>
        <v>1</v>
      </c>
      <c r="F593" s="92">
        <f>Table13[[#This Row],[Staff Delta]]</f>
        <v>0</v>
      </c>
      <c r="G593" s="93" t="str">
        <f>Table13[[#This Row],[Economic Sector]]</f>
        <v>Accommodation and food service activities</v>
      </c>
    </row>
    <row r="594" spans="1:7">
      <c r="A594" s="20" t="str">
        <f>Table13[[#This Row],[Governorate]]</f>
        <v>Mafraq</v>
      </c>
      <c r="B594" s="82">
        <f t="shared" si="18"/>
        <v>1</v>
      </c>
      <c r="C594" s="82">
        <v>0</v>
      </c>
      <c r="D594" s="82">
        <f>Table13[[#This Row],[Women-led]]</f>
        <v>1</v>
      </c>
      <c r="E594" s="83">
        <f t="shared" si="19"/>
        <v>1</v>
      </c>
      <c r="F594" s="92">
        <f>Table13[[#This Row],[Staff Delta]]</f>
        <v>0</v>
      </c>
      <c r="G594" s="93" t="str">
        <f>Table13[[#This Row],[Economic Sector]]</f>
        <v>Agriculture, forestry and fishing</v>
      </c>
    </row>
    <row r="595" spans="1:7">
      <c r="A595" s="20" t="str">
        <f>Table13[[#This Row],[Governorate]]</f>
        <v>Mafraq</v>
      </c>
      <c r="B595" s="82">
        <f t="shared" si="18"/>
        <v>1</v>
      </c>
      <c r="C595" s="82">
        <v>0</v>
      </c>
      <c r="D595" s="82">
        <f>Table13[[#This Row],[Women-led]]</f>
        <v>1</v>
      </c>
      <c r="E595" s="83">
        <f t="shared" si="19"/>
        <v>1</v>
      </c>
      <c r="F595" s="92">
        <f>Table13[[#This Row],[Staff Delta]]</f>
        <v>0</v>
      </c>
      <c r="G595" s="93" t="str">
        <f>Table13[[#This Row],[Economic Sector]]</f>
        <v>Information and communication</v>
      </c>
    </row>
    <row r="596" spans="1:7">
      <c r="A596" s="20" t="str">
        <f>Table13[[#This Row],[Governorate]]</f>
        <v>Mafraq</v>
      </c>
      <c r="B596" s="82">
        <f t="shared" si="18"/>
        <v>1</v>
      </c>
      <c r="C596" s="82">
        <v>0</v>
      </c>
      <c r="D596" s="82">
        <f>Table13[[#This Row],[Women-led]]</f>
        <v>1</v>
      </c>
      <c r="E596" s="83">
        <f t="shared" si="19"/>
        <v>1</v>
      </c>
      <c r="F596" s="92">
        <f>Table13[[#This Row],[Staff Delta]]</f>
        <v>0</v>
      </c>
      <c r="G596" s="93" t="str">
        <f>Table13[[#This Row],[Economic Sector]]</f>
        <v>Information and communication</v>
      </c>
    </row>
    <row r="597" spans="1:7">
      <c r="A597" s="20" t="str">
        <f>Table13[[#This Row],[Governorate]]</f>
        <v>Mafraq</v>
      </c>
      <c r="B597" s="82">
        <f t="shared" si="18"/>
        <v>1</v>
      </c>
      <c r="C597" s="82">
        <v>0</v>
      </c>
      <c r="D597" s="82">
        <f>Table13[[#This Row],[Women-led]]</f>
        <v>1</v>
      </c>
      <c r="E597" s="83">
        <f t="shared" si="19"/>
        <v>1</v>
      </c>
      <c r="F597" s="92">
        <f>Table13[[#This Row],[Staff Delta]]</f>
        <v>0</v>
      </c>
      <c r="G597" s="93" t="str">
        <f>Table13[[#This Row],[Economic Sector]]</f>
        <v>Administrative and support service activities</v>
      </c>
    </row>
    <row r="598" spans="1:7">
      <c r="A598" s="20" t="str">
        <f>Table13[[#This Row],[Governorate]]</f>
        <v>Mafraq</v>
      </c>
      <c r="B598" s="82">
        <f t="shared" si="18"/>
        <v>1</v>
      </c>
      <c r="C598" s="82">
        <v>0</v>
      </c>
      <c r="D598" s="82">
        <f>Table13[[#This Row],[Women-led]]</f>
        <v>1</v>
      </c>
      <c r="E598" s="83">
        <f t="shared" si="19"/>
        <v>1</v>
      </c>
      <c r="F598" s="92">
        <f>Table13[[#This Row],[Staff Delta]]</f>
        <v>0</v>
      </c>
      <c r="G598" s="93" t="str">
        <f>Table13[[#This Row],[Economic Sector]]</f>
        <v>Information and communication</v>
      </c>
    </row>
    <row r="599" spans="1:7">
      <c r="A599" s="20" t="str">
        <f>Table13[[#This Row],[Governorate]]</f>
        <v>Mafraq</v>
      </c>
      <c r="B599" s="82">
        <f t="shared" si="18"/>
        <v>1</v>
      </c>
      <c r="C599" s="82">
        <v>0</v>
      </c>
      <c r="D599" s="82">
        <f>Table13[[#This Row],[Women-led]]</f>
        <v>1</v>
      </c>
      <c r="E599" s="83">
        <f t="shared" si="19"/>
        <v>1</v>
      </c>
      <c r="F599" s="92">
        <f>Table13[[#This Row],[Staff Delta]]</f>
        <v>0</v>
      </c>
      <c r="G599" s="93" t="str">
        <f>Table13[[#This Row],[Economic Sector]]</f>
        <v>Information and communication</v>
      </c>
    </row>
    <row r="600" spans="1:7">
      <c r="A600" s="20" t="str">
        <f>Table13[[#This Row],[Governorate]]</f>
        <v>Mafraq</v>
      </c>
      <c r="B600" s="82">
        <f t="shared" si="18"/>
        <v>1</v>
      </c>
      <c r="C600" s="82">
        <v>0</v>
      </c>
      <c r="D600" s="82">
        <f>Table13[[#This Row],[Women-led]]</f>
        <v>1</v>
      </c>
      <c r="E600" s="83">
        <f t="shared" si="19"/>
        <v>1</v>
      </c>
      <c r="F600" s="92">
        <f>Table13[[#This Row],[Staff Delta]]</f>
        <v>0</v>
      </c>
      <c r="G600" s="93" t="str">
        <f>Table13[[#This Row],[Economic Sector]]</f>
        <v>Human health and social work activities</v>
      </c>
    </row>
    <row r="601" spans="1:7">
      <c r="A601" s="20" t="str">
        <f>Table13[[#This Row],[Governorate]]</f>
        <v>Mafraq</v>
      </c>
      <c r="B601" s="82">
        <f t="shared" si="18"/>
        <v>1</v>
      </c>
      <c r="C601" s="82">
        <v>0</v>
      </c>
      <c r="D601" s="82">
        <f>Table13[[#This Row],[Women-led]]</f>
        <v>1</v>
      </c>
      <c r="E601" s="83">
        <f t="shared" si="19"/>
        <v>1</v>
      </c>
      <c r="F601" s="92">
        <f>Table13[[#This Row],[Staff Delta]]</f>
        <v>15</v>
      </c>
      <c r="G601" s="93" t="str">
        <f>Table13[[#This Row],[Economic Sector]]</f>
        <v>Manufacturing</v>
      </c>
    </row>
    <row r="602" spans="1:7">
      <c r="A602" s="20" t="str">
        <f>Table13[[#This Row],[Governorate]]</f>
        <v>Mafraq</v>
      </c>
      <c r="B602" s="82">
        <f t="shared" si="18"/>
        <v>1</v>
      </c>
      <c r="C602" s="82">
        <v>0</v>
      </c>
      <c r="D602" s="82">
        <f>Table13[[#This Row],[Women-led]]</f>
        <v>1</v>
      </c>
      <c r="E602" s="83">
        <f t="shared" si="19"/>
        <v>1</v>
      </c>
      <c r="F602" s="92">
        <f>Table13[[#This Row],[Staff Delta]]</f>
        <v>0</v>
      </c>
      <c r="G602" s="93" t="str">
        <f>Table13[[#This Row],[Economic Sector]]</f>
        <v>Arts, entertainment and recreation</v>
      </c>
    </row>
    <row r="603" spans="1:7">
      <c r="A603" s="20" t="str">
        <f>Table13[[#This Row],[Governorate]]</f>
        <v>Mafraq</v>
      </c>
      <c r="B603" s="82">
        <f t="shared" si="18"/>
        <v>1</v>
      </c>
      <c r="C603" s="82">
        <v>0</v>
      </c>
      <c r="D603" s="82">
        <f>Table13[[#This Row],[Women-led]]</f>
        <v>1</v>
      </c>
      <c r="E603" s="83">
        <f t="shared" si="19"/>
        <v>1</v>
      </c>
      <c r="F603" s="92">
        <f>Table13[[#This Row],[Staff Delta]]</f>
        <v>0</v>
      </c>
      <c r="G603" s="93" t="str">
        <f>Table13[[#This Row],[Economic Sector]]</f>
        <v>Human health and social work activities</v>
      </c>
    </row>
    <row r="604" spans="1:7">
      <c r="A604" s="20" t="str">
        <f>Table13[[#This Row],[Governorate]]</f>
        <v>Mafraq</v>
      </c>
      <c r="B604" s="82">
        <f t="shared" si="18"/>
        <v>1</v>
      </c>
      <c r="C604" s="82">
        <v>0</v>
      </c>
      <c r="D604" s="82">
        <f>Table13[[#This Row],[Women-led]]</f>
        <v>1</v>
      </c>
      <c r="E604" s="83">
        <f t="shared" si="19"/>
        <v>1</v>
      </c>
      <c r="F604" s="92">
        <f>Table13[[#This Row],[Staff Delta]]</f>
        <v>0</v>
      </c>
      <c r="G604" s="93" t="str">
        <f>Table13[[#This Row],[Economic Sector]]</f>
        <v>Arts, entertainment and recreation</v>
      </c>
    </row>
    <row r="605" spans="1:7">
      <c r="A605" s="20" t="str">
        <f>Table13[[#This Row],[Governorate]]</f>
        <v>Mafraq</v>
      </c>
      <c r="B605" s="82">
        <f t="shared" si="18"/>
        <v>1</v>
      </c>
      <c r="C605" s="82">
        <v>0</v>
      </c>
      <c r="D605" s="82">
        <f>Table13[[#This Row],[Women-led]]</f>
        <v>1</v>
      </c>
      <c r="E605" s="83">
        <f t="shared" si="19"/>
        <v>1</v>
      </c>
      <c r="F605" s="92">
        <f>Table13[[#This Row],[Staff Delta]]</f>
        <v>0</v>
      </c>
      <c r="G605" s="93" t="str">
        <f>Table13[[#This Row],[Economic Sector]]</f>
        <v>Manufacturing</v>
      </c>
    </row>
    <row r="606" spans="1:7">
      <c r="A606" s="20" t="str">
        <f>Table13[[#This Row],[Governorate]]</f>
        <v>Mafraq</v>
      </c>
      <c r="B606" s="82">
        <f t="shared" si="18"/>
        <v>1</v>
      </c>
      <c r="C606" s="82">
        <v>0</v>
      </c>
      <c r="D606" s="82">
        <f>Table13[[#This Row],[Women-led]]</f>
        <v>1</v>
      </c>
      <c r="E606" s="83">
        <f t="shared" si="19"/>
        <v>1</v>
      </c>
      <c r="F606" s="92">
        <f>Table13[[#This Row],[Staff Delta]]</f>
        <v>0</v>
      </c>
      <c r="G606" s="93" t="str">
        <f>Table13[[#This Row],[Economic Sector]]</f>
        <v>Arts, entertainment and recreation</v>
      </c>
    </row>
    <row r="607" spans="1:7">
      <c r="A607" s="20" t="str">
        <f>Table13[[#This Row],[Governorate]]</f>
        <v>Mafraq</v>
      </c>
      <c r="B607" s="82">
        <f t="shared" si="18"/>
        <v>1</v>
      </c>
      <c r="C607" s="82">
        <v>0</v>
      </c>
      <c r="D607" s="82">
        <f>Table13[[#This Row],[Women-led]]</f>
        <v>1</v>
      </c>
      <c r="E607" s="83">
        <f t="shared" si="19"/>
        <v>1</v>
      </c>
      <c r="F607" s="92">
        <f>Table13[[#This Row],[Staff Delta]]</f>
        <v>0</v>
      </c>
      <c r="G607" s="93" t="str">
        <f>Table13[[#This Row],[Economic Sector]]</f>
        <v>Arts, entertainment and recreation</v>
      </c>
    </row>
    <row r="608" spans="1:7">
      <c r="A608" s="20" t="str">
        <f>Table13[[#This Row],[Governorate]]</f>
        <v>Mafraq</v>
      </c>
      <c r="B608" s="82">
        <f t="shared" si="18"/>
        <v>1</v>
      </c>
      <c r="C608" s="82">
        <v>0</v>
      </c>
      <c r="D608" s="82">
        <f>Table13[[#This Row],[Women-led]]</f>
        <v>1</v>
      </c>
      <c r="E608" s="83">
        <f t="shared" si="19"/>
        <v>1</v>
      </c>
      <c r="F608" s="92">
        <f>Table13[[#This Row],[Staff Delta]]</f>
        <v>0</v>
      </c>
      <c r="G608" s="93" t="str">
        <f>Table13[[#This Row],[Economic Sector]]</f>
        <v>Manufacturing</v>
      </c>
    </row>
    <row r="609" spans="1:7">
      <c r="A609" s="20" t="str">
        <f>Table13[[#This Row],[Governorate]]</f>
        <v>Mafraq</v>
      </c>
      <c r="B609" s="82">
        <f t="shared" si="18"/>
        <v>1</v>
      </c>
      <c r="C609" s="82">
        <v>0</v>
      </c>
      <c r="D609" s="82">
        <f>Table13[[#This Row],[Women-led]]</f>
        <v>1</v>
      </c>
      <c r="E609" s="83">
        <f t="shared" si="19"/>
        <v>1</v>
      </c>
      <c r="F609" s="92">
        <f>Table13[[#This Row],[Staff Delta]]</f>
        <v>0</v>
      </c>
      <c r="G609" s="93" t="str">
        <f>Table13[[#This Row],[Economic Sector]]</f>
        <v>Agriculture, forestry and fishing</v>
      </c>
    </row>
    <row r="610" spans="1:7">
      <c r="A610" s="20" t="str">
        <f>Table13[[#This Row],[Governorate]]</f>
        <v>Mafraq</v>
      </c>
      <c r="B610" s="82">
        <f t="shared" si="18"/>
        <v>1</v>
      </c>
      <c r="C610" s="82">
        <v>0</v>
      </c>
      <c r="D610" s="82">
        <f>Table13[[#This Row],[Women-led]]</f>
        <v>1</v>
      </c>
      <c r="E610" s="83">
        <f t="shared" si="19"/>
        <v>1</v>
      </c>
      <c r="F610" s="92">
        <f>Table13[[#This Row],[Staff Delta]]</f>
        <v>0</v>
      </c>
      <c r="G610" s="93">
        <f>Table13[[#This Row],[Economic Sector]]</f>
        <v>0</v>
      </c>
    </row>
    <row r="611" spans="1:7">
      <c r="A611" s="20" t="str">
        <f>Table13[[#This Row],[Governorate]]</f>
        <v>Mafraq</v>
      </c>
      <c r="B611" s="82">
        <f t="shared" si="18"/>
        <v>1</v>
      </c>
      <c r="C611" s="82">
        <v>0</v>
      </c>
      <c r="D611" s="82">
        <f>Table13[[#This Row],[Women-led]]</f>
        <v>1</v>
      </c>
      <c r="E611" s="83">
        <f t="shared" si="19"/>
        <v>1</v>
      </c>
      <c r="F611" s="92">
        <f>Table13[[#This Row],[Staff Delta]]</f>
        <v>0</v>
      </c>
      <c r="G611" s="93" t="str">
        <f>Table13[[#This Row],[Economic Sector]]</f>
        <v>Arts, entertainment and recreation</v>
      </c>
    </row>
    <row r="612" spans="1:7">
      <c r="A612" s="20" t="str">
        <f>Table13[[#This Row],[Governorate]]</f>
        <v>Mafraq</v>
      </c>
      <c r="B612" s="82">
        <f t="shared" si="18"/>
        <v>1</v>
      </c>
      <c r="C612" s="82">
        <v>0</v>
      </c>
      <c r="D612" s="82">
        <f>Table13[[#This Row],[Women-led]]</f>
        <v>1</v>
      </c>
      <c r="E612" s="83">
        <f t="shared" si="19"/>
        <v>1</v>
      </c>
      <c r="F612" s="92">
        <f>Table13[[#This Row],[Staff Delta]]</f>
        <v>0</v>
      </c>
      <c r="G612" s="93" t="str">
        <f>Table13[[#This Row],[Economic Sector]]</f>
        <v>Arts, entertainment and recreation</v>
      </c>
    </row>
    <row r="613" spans="1:7">
      <c r="A613" s="20" t="str">
        <f>Table13[[#This Row],[Governorate]]</f>
        <v>Mafraq</v>
      </c>
      <c r="B613" s="82">
        <f t="shared" si="18"/>
        <v>1</v>
      </c>
      <c r="C613" s="82">
        <v>0</v>
      </c>
      <c r="D613" s="82">
        <f>Table13[[#This Row],[Women-led]]</f>
        <v>1</v>
      </c>
      <c r="E613" s="83">
        <f t="shared" si="19"/>
        <v>1</v>
      </c>
      <c r="F613" s="92">
        <f>Table13[[#This Row],[Staff Delta]]</f>
        <v>0</v>
      </c>
      <c r="G613" s="93" t="str">
        <f>Table13[[#This Row],[Economic Sector]]</f>
        <v>Manufacturing</v>
      </c>
    </row>
    <row r="614" spans="1:7">
      <c r="A614" s="20" t="str">
        <f>Table13[[#This Row],[Governorate]]</f>
        <v>Mafraq</v>
      </c>
      <c r="B614" s="82">
        <f t="shared" si="18"/>
        <v>1</v>
      </c>
      <c r="C614" s="82">
        <v>1</v>
      </c>
      <c r="D614" s="82">
        <f>Table13[[#This Row],[Women-led]]</f>
        <v>0</v>
      </c>
      <c r="E614" s="83">
        <f t="shared" si="19"/>
        <v>0</v>
      </c>
      <c r="F614" s="92">
        <f>Table13[[#This Row],[Staff Delta]]</f>
        <v>0</v>
      </c>
      <c r="G614" s="93" t="str">
        <f>Table13[[#This Row],[Economic Sector]]</f>
        <v>Manufacturing</v>
      </c>
    </row>
    <row r="615" spans="1:7">
      <c r="A615" s="20" t="str">
        <f>Table13[[#This Row],[Governorate]]</f>
        <v>Mafraq</v>
      </c>
      <c r="B615" s="82">
        <f t="shared" si="18"/>
        <v>1</v>
      </c>
      <c r="C615" s="82">
        <v>1</v>
      </c>
      <c r="D615" s="82">
        <f>Table13[[#This Row],[Women-led]]</f>
        <v>0</v>
      </c>
      <c r="E615" s="83">
        <f t="shared" si="19"/>
        <v>0</v>
      </c>
      <c r="F615" s="92">
        <f>Table13[[#This Row],[Staff Delta]]</f>
        <v>0</v>
      </c>
      <c r="G615" s="93" t="str">
        <f>Table13[[#This Row],[Economic Sector]]</f>
        <v>Manufacturing</v>
      </c>
    </row>
    <row r="616" spans="1:7">
      <c r="A616" s="20" t="str">
        <f>Table13[[#This Row],[Governorate]]</f>
        <v>Mafraq</v>
      </c>
      <c r="B616" s="82">
        <f t="shared" si="18"/>
        <v>1</v>
      </c>
      <c r="C616" s="82">
        <v>1</v>
      </c>
      <c r="D616" s="82">
        <f>Table13[[#This Row],[Women-led]]</f>
        <v>0</v>
      </c>
      <c r="E616" s="83">
        <f t="shared" si="19"/>
        <v>0</v>
      </c>
      <c r="F616" s="92">
        <f>Table13[[#This Row],[Staff Delta]]</f>
        <v>0</v>
      </c>
      <c r="G616" s="93" t="str">
        <f>Table13[[#This Row],[Economic Sector]]</f>
        <v>Manufacturing</v>
      </c>
    </row>
    <row r="617" spans="1:7">
      <c r="A617" s="20" t="str">
        <f>Table13[[#This Row],[Governorate]]</f>
        <v>Mafraq</v>
      </c>
      <c r="B617" s="82">
        <f t="shared" si="18"/>
        <v>1</v>
      </c>
      <c r="C617" s="82">
        <v>0</v>
      </c>
      <c r="D617" s="82">
        <f>Table13[[#This Row],[Women-led]]</f>
        <v>1</v>
      </c>
      <c r="E617" s="83">
        <f t="shared" si="19"/>
        <v>1</v>
      </c>
      <c r="F617" s="92">
        <f>Table13[[#This Row],[Staff Delta]]</f>
        <v>0</v>
      </c>
      <c r="G617" s="93" t="str">
        <f>Table13[[#This Row],[Economic Sector]]</f>
        <v>Manufacturing</v>
      </c>
    </row>
    <row r="618" spans="1:7">
      <c r="A618" s="20" t="str">
        <f>Table13[[#This Row],[Governorate]]</f>
        <v>Mafraq</v>
      </c>
      <c r="B618" s="82">
        <f t="shared" si="18"/>
        <v>1</v>
      </c>
      <c r="C618" s="82">
        <v>0</v>
      </c>
      <c r="D618" s="82">
        <f>Table13[[#This Row],[Women-led]]</f>
        <v>1</v>
      </c>
      <c r="E618" s="83">
        <f t="shared" si="19"/>
        <v>1</v>
      </c>
      <c r="F618" s="92">
        <f>Table13[[#This Row],[Staff Delta]]</f>
        <v>0</v>
      </c>
      <c r="G618" s="93" t="str">
        <f>Table13[[#This Row],[Economic Sector]]</f>
        <v>Manufacturing</v>
      </c>
    </row>
    <row r="619" spans="1:7">
      <c r="A619" s="20" t="str">
        <f>Table13[[#This Row],[Governorate]]</f>
        <v>Mafraq</v>
      </c>
      <c r="B619" s="82">
        <f t="shared" si="18"/>
        <v>1</v>
      </c>
      <c r="C619" s="82">
        <v>0</v>
      </c>
      <c r="D619" s="82">
        <f>Table13[[#This Row],[Women-led]]</f>
        <v>1</v>
      </c>
      <c r="E619" s="83">
        <f t="shared" si="19"/>
        <v>1</v>
      </c>
      <c r="F619" s="92">
        <f>Table13[[#This Row],[Staff Delta]]</f>
        <v>0</v>
      </c>
      <c r="G619" s="93" t="str">
        <f>Table13[[#This Row],[Economic Sector]]</f>
        <v>Wholesale and retail trade; repair of motor vehicles and motorcycles</v>
      </c>
    </row>
    <row r="620" spans="1:7">
      <c r="A620" s="20" t="str">
        <f>Table13[[#This Row],[Governorate]]</f>
        <v>Mafraq</v>
      </c>
      <c r="B620" s="82">
        <f t="shared" si="18"/>
        <v>1</v>
      </c>
      <c r="C620" s="82">
        <v>1</v>
      </c>
      <c r="D620" s="82">
        <f>Table13[[#This Row],[Women-led]]</f>
        <v>0</v>
      </c>
      <c r="E620" s="83">
        <f t="shared" si="19"/>
        <v>0</v>
      </c>
      <c r="F620" s="92">
        <f>Table13[[#This Row],[Staff Delta]]</f>
        <v>0</v>
      </c>
      <c r="G620" s="93" t="str">
        <f>Table13[[#This Row],[Economic Sector]]</f>
        <v>Professional, scientific and technical activities</v>
      </c>
    </row>
    <row r="621" spans="1:7">
      <c r="A621" s="20" t="str">
        <f>Table13[[#This Row],[Governorate]]</f>
        <v>Mafraq</v>
      </c>
      <c r="B621" s="82">
        <f t="shared" si="18"/>
        <v>1</v>
      </c>
      <c r="C621" s="82">
        <v>0</v>
      </c>
      <c r="D621" s="82">
        <f>Table13[[#This Row],[Women-led]]</f>
        <v>1</v>
      </c>
      <c r="E621" s="83">
        <f t="shared" si="19"/>
        <v>1</v>
      </c>
      <c r="F621" s="92">
        <f>Table13[[#This Row],[Staff Delta]]</f>
        <v>0</v>
      </c>
      <c r="G621" s="93" t="str">
        <f>Table13[[#This Row],[Economic Sector]]</f>
        <v>Agriculture, forestry and fishing</v>
      </c>
    </row>
    <row r="622" spans="1:7">
      <c r="A622" s="20" t="str">
        <f>Table13[[#This Row],[Governorate]]</f>
        <v>Mafraq</v>
      </c>
      <c r="B622" s="82">
        <f t="shared" si="18"/>
        <v>1</v>
      </c>
      <c r="C622" s="82">
        <v>0</v>
      </c>
      <c r="D622" s="82">
        <f>Table13[[#This Row],[Women-led]]</f>
        <v>1</v>
      </c>
      <c r="E622" s="83">
        <f t="shared" si="19"/>
        <v>1</v>
      </c>
      <c r="F622" s="92">
        <f>Table13[[#This Row],[Staff Delta]]</f>
        <v>0</v>
      </c>
      <c r="G622" s="93" t="str">
        <f>Table13[[#This Row],[Economic Sector]]</f>
        <v>Transportation and storage</v>
      </c>
    </row>
    <row r="623" spans="1:7">
      <c r="A623" s="20" t="str">
        <f>Table13[[#This Row],[Governorate]]</f>
        <v>Mafraq</v>
      </c>
      <c r="B623" s="82">
        <f t="shared" si="18"/>
        <v>1</v>
      </c>
      <c r="C623" s="82">
        <v>0</v>
      </c>
      <c r="D623" s="82">
        <f>Table13[[#This Row],[Women-led]]</f>
        <v>1</v>
      </c>
      <c r="E623" s="83">
        <f t="shared" si="19"/>
        <v>1</v>
      </c>
      <c r="F623" s="92">
        <f>Table13[[#This Row],[Staff Delta]]</f>
        <v>0</v>
      </c>
      <c r="G623" s="93" t="str">
        <f>Table13[[#This Row],[Economic Sector]]</f>
        <v>Human health and social work activities</v>
      </c>
    </row>
    <row r="624" spans="1:7">
      <c r="A624" s="20" t="str">
        <f>Table13[[#This Row],[Governorate]]</f>
        <v>Mafraq</v>
      </c>
      <c r="B624" s="82">
        <f t="shared" si="18"/>
        <v>1</v>
      </c>
      <c r="C624" s="82">
        <v>0</v>
      </c>
      <c r="D624" s="82">
        <f>Table13[[#This Row],[Women-led]]</f>
        <v>1</v>
      </c>
      <c r="E624" s="83">
        <f t="shared" si="19"/>
        <v>1</v>
      </c>
      <c r="F624" s="92">
        <f>Table13[[#This Row],[Staff Delta]]</f>
        <v>0</v>
      </c>
      <c r="G624" s="93" t="str">
        <f>Table13[[#This Row],[Economic Sector]]</f>
        <v>Agriculture, forestry and fishing</v>
      </c>
    </row>
    <row r="625" spans="1:7">
      <c r="A625" s="20" t="str">
        <f>Table13[[#This Row],[Governorate]]</f>
        <v>Mafraq</v>
      </c>
      <c r="B625" s="82">
        <f t="shared" si="18"/>
        <v>1</v>
      </c>
      <c r="C625" s="82">
        <v>1</v>
      </c>
      <c r="D625" s="82">
        <f>Table13[[#This Row],[Women-led]]</f>
        <v>0</v>
      </c>
      <c r="E625" s="83">
        <f t="shared" si="19"/>
        <v>0</v>
      </c>
      <c r="F625" s="92">
        <f>Table13[[#This Row],[Staff Delta]]</f>
        <v>0</v>
      </c>
      <c r="G625" s="93" t="str">
        <f>Table13[[#This Row],[Economic Sector]]</f>
        <v>Education</v>
      </c>
    </row>
    <row r="626" spans="1:7">
      <c r="A626" s="20" t="str">
        <f>Table13[[#This Row],[Governorate]]</f>
        <v>Mafraq</v>
      </c>
      <c r="B626" s="82">
        <f t="shared" si="18"/>
        <v>1</v>
      </c>
      <c r="C626" s="82">
        <v>1</v>
      </c>
      <c r="D626" s="82">
        <f>Table13[[#This Row],[Women-led]]</f>
        <v>0</v>
      </c>
      <c r="E626" s="83">
        <f t="shared" si="19"/>
        <v>0</v>
      </c>
      <c r="F626" s="92">
        <f>Table13[[#This Row],[Staff Delta]]</f>
        <v>0</v>
      </c>
      <c r="G626" s="93" t="str">
        <f>Table13[[#This Row],[Economic Sector]]</f>
        <v>Agriculture, forestry and fishing</v>
      </c>
    </row>
    <row r="627" spans="1:7">
      <c r="A627" s="20" t="str">
        <f>Table13[[#This Row],[Governorate]]</f>
        <v>Mafraq</v>
      </c>
      <c r="B627" s="82">
        <f t="shared" si="18"/>
        <v>1</v>
      </c>
      <c r="C627" s="82">
        <v>0</v>
      </c>
      <c r="D627" s="82">
        <f>Table13[[#This Row],[Women-led]]</f>
        <v>1</v>
      </c>
      <c r="E627" s="83">
        <f t="shared" si="19"/>
        <v>1</v>
      </c>
      <c r="F627" s="92">
        <f>Table13[[#This Row],[Staff Delta]]</f>
        <v>0</v>
      </c>
      <c r="G627" s="93" t="str">
        <f>Table13[[#This Row],[Economic Sector]]</f>
        <v>Arts, entertainment and recreation</v>
      </c>
    </row>
    <row r="628" spans="1:7">
      <c r="A628" s="20" t="str">
        <f>Table13[[#This Row],[Governorate]]</f>
        <v>Mafraq</v>
      </c>
      <c r="B628" s="82">
        <f t="shared" si="18"/>
        <v>1</v>
      </c>
      <c r="C628" s="82">
        <v>0</v>
      </c>
      <c r="D628" s="82">
        <f>Table13[[#This Row],[Women-led]]</f>
        <v>1</v>
      </c>
      <c r="E628" s="83">
        <f t="shared" si="19"/>
        <v>1</v>
      </c>
      <c r="F628" s="92">
        <f>Table13[[#This Row],[Staff Delta]]</f>
        <v>0</v>
      </c>
      <c r="G628" s="93">
        <f>Table13[[#This Row],[Economic Sector]]</f>
        <v>0</v>
      </c>
    </row>
    <row r="629" spans="1:7">
      <c r="A629" s="20" t="str">
        <f>Table13[[#This Row],[Governorate]]</f>
        <v>Mafraq</v>
      </c>
      <c r="B629" s="82">
        <f t="shared" si="18"/>
        <v>1</v>
      </c>
      <c r="C629" s="82">
        <v>0</v>
      </c>
      <c r="D629" s="82">
        <f>Table13[[#This Row],[Women-led]]</f>
        <v>1</v>
      </c>
      <c r="E629" s="83">
        <f t="shared" si="19"/>
        <v>1</v>
      </c>
      <c r="F629" s="92">
        <f>Table13[[#This Row],[Staff Delta]]</f>
        <v>0</v>
      </c>
      <c r="G629" s="93" t="str">
        <f>Table13[[#This Row],[Economic Sector]]</f>
        <v>Agriculture, forestry and fishing</v>
      </c>
    </row>
    <row r="630" spans="1:7">
      <c r="A630" s="20" t="str">
        <f>Table13[[#This Row],[Governorate]]</f>
        <v>Mafraq</v>
      </c>
      <c r="B630" s="82">
        <f t="shared" si="18"/>
        <v>1</v>
      </c>
      <c r="C630" s="82">
        <v>0</v>
      </c>
      <c r="D630" s="82">
        <f>Table13[[#This Row],[Women-led]]</f>
        <v>1</v>
      </c>
      <c r="E630" s="83">
        <f t="shared" si="19"/>
        <v>1</v>
      </c>
      <c r="F630" s="92">
        <f>Table13[[#This Row],[Staff Delta]]</f>
        <v>0</v>
      </c>
      <c r="G630" s="93" t="str">
        <f>Table13[[#This Row],[Economic Sector]]</f>
        <v>Human health and social work activities</v>
      </c>
    </row>
    <row r="631" spans="1:7">
      <c r="A631" s="20" t="str">
        <f>Table13[[#This Row],[Governorate]]</f>
        <v>Mafraq</v>
      </c>
      <c r="B631" s="82">
        <f t="shared" si="18"/>
        <v>1</v>
      </c>
      <c r="C631" s="82">
        <v>1</v>
      </c>
      <c r="D631" s="82">
        <f>Table13[[#This Row],[Women-led]]</f>
        <v>0</v>
      </c>
      <c r="E631" s="83">
        <f t="shared" si="19"/>
        <v>0</v>
      </c>
      <c r="F631" s="92">
        <f>Table13[[#This Row],[Staff Delta]]</f>
        <v>0</v>
      </c>
      <c r="G631" s="93" t="str">
        <f>Table13[[#This Row],[Economic Sector]]</f>
        <v>Human health and social work activities</v>
      </c>
    </row>
    <row r="632" spans="1:7">
      <c r="A632" s="20" t="str">
        <f>Table13[[#This Row],[Governorate]]</f>
        <v>Mafraq</v>
      </c>
      <c r="B632" s="82">
        <f t="shared" si="18"/>
        <v>1</v>
      </c>
      <c r="C632" s="82">
        <v>1</v>
      </c>
      <c r="D632" s="82">
        <f>Table13[[#This Row],[Women-led]]</f>
        <v>0</v>
      </c>
      <c r="E632" s="83">
        <f t="shared" si="19"/>
        <v>0</v>
      </c>
      <c r="F632" s="92">
        <f>Table13[[#This Row],[Staff Delta]]</f>
        <v>0</v>
      </c>
      <c r="G632" s="93" t="str">
        <f>Table13[[#This Row],[Economic Sector]]</f>
        <v>Arts, entertainment and recreation</v>
      </c>
    </row>
    <row r="633" spans="1:7">
      <c r="A633" s="20" t="str">
        <f>Table13[[#This Row],[Governorate]]</f>
        <v>Mafraq</v>
      </c>
      <c r="B633" s="82">
        <f t="shared" si="18"/>
        <v>1</v>
      </c>
      <c r="C633" s="82">
        <v>0</v>
      </c>
      <c r="D633" s="82">
        <f>Table13[[#This Row],[Women-led]]</f>
        <v>1</v>
      </c>
      <c r="E633" s="83">
        <f t="shared" si="19"/>
        <v>1</v>
      </c>
      <c r="F633" s="92">
        <f>Table13[[#This Row],[Staff Delta]]</f>
        <v>0</v>
      </c>
      <c r="G633" s="93" t="str">
        <f>Table13[[#This Row],[Economic Sector]]</f>
        <v>Arts, entertainment and recreation</v>
      </c>
    </row>
    <row r="634" spans="1:7">
      <c r="A634" s="20" t="str">
        <f>Table13[[#This Row],[Governorate]]</f>
        <v>Mafraq</v>
      </c>
      <c r="B634" s="82">
        <f t="shared" si="18"/>
        <v>1</v>
      </c>
      <c r="C634" s="82">
        <v>0</v>
      </c>
      <c r="D634" s="82">
        <f>Table13[[#This Row],[Women-led]]</f>
        <v>1</v>
      </c>
      <c r="E634" s="83">
        <f t="shared" si="19"/>
        <v>1</v>
      </c>
      <c r="F634" s="92">
        <f>Table13[[#This Row],[Staff Delta]]</f>
        <v>0</v>
      </c>
      <c r="G634" s="93" t="str">
        <f>Table13[[#This Row],[Economic Sector]]</f>
        <v>Manufacturing</v>
      </c>
    </row>
    <row r="635" spans="1:7">
      <c r="A635" s="20" t="str">
        <f>Table13[[#This Row],[Governorate]]</f>
        <v>Mafraq</v>
      </c>
      <c r="B635" s="82">
        <f t="shared" si="18"/>
        <v>1</v>
      </c>
      <c r="C635" s="82">
        <v>1</v>
      </c>
      <c r="D635" s="82">
        <f>Table13[[#This Row],[Women-led]]</f>
        <v>0</v>
      </c>
      <c r="E635" s="83">
        <f t="shared" si="19"/>
        <v>0</v>
      </c>
      <c r="F635" s="92">
        <f>Table13[[#This Row],[Staff Delta]]</f>
        <v>0</v>
      </c>
      <c r="G635" s="93" t="str">
        <f>Table13[[#This Row],[Economic Sector]]</f>
        <v>Human health and social work activities</v>
      </c>
    </row>
    <row r="636" spans="1:7">
      <c r="A636" s="20" t="str">
        <f>Table13[[#This Row],[Governorate]]</f>
        <v>Mafraq</v>
      </c>
      <c r="B636" s="82">
        <f t="shared" si="18"/>
        <v>1</v>
      </c>
      <c r="C636" s="82">
        <v>0</v>
      </c>
      <c r="D636" s="82">
        <f>Table13[[#This Row],[Women-led]]</f>
        <v>1</v>
      </c>
      <c r="E636" s="83">
        <f t="shared" si="19"/>
        <v>1</v>
      </c>
      <c r="F636" s="92">
        <f>Table13[[#This Row],[Staff Delta]]</f>
        <v>0</v>
      </c>
      <c r="G636" s="93" t="str">
        <f>Table13[[#This Row],[Economic Sector]]</f>
        <v>Professional, scientific and technical activities</v>
      </c>
    </row>
    <row r="637" spans="1:7">
      <c r="A637" s="20" t="str">
        <f>Table13[[#This Row],[Governorate]]</f>
        <v>Mafraq</v>
      </c>
      <c r="B637" s="82">
        <f t="shared" si="18"/>
        <v>1</v>
      </c>
      <c r="C637" s="82">
        <v>0</v>
      </c>
      <c r="D637" s="82">
        <f>Table13[[#This Row],[Women-led]]</f>
        <v>1</v>
      </c>
      <c r="E637" s="83">
        <f t="shared" si="19"/>
        <v>1</v>
      </c>
      <c r="F637" s="92">
        <f>Table13[[#This Row],[Staff Delta]]</f>
        <v>0</v>
      </c>
      <c r="G637" s="93" t="str">
        <f>Table13[[#This Row],[Economic Sector]]</f>
        <v>Manufacturing</v>
      </c>
    </row>
    <row r="638" spans="1:7">
      <c r="A638" s="20" t="str">
        <f>Table13[[#This Row],[Governorate]]</f>
        <v>Mafraq</v>
      </c>
      <c r="B638" s="82">
        <f t="shared" si="18"/>
        <v>1</v>
      </c>
      <c r="C638" s="82">
        <v>0</v>
      </c>
      <c r="D638" s="82">
        <f>Table13[[#This Row],[Women-led]]</f>
        <v>1</v>
      </c>
      <c r="E638" s="83">
        <f t="shared" si="19"/>
        <v>1</v>
      </c>
      <c r="F638" s="92">
        <f>Table13[[#This Row],[Staff Delta]]</f>
        <v>0</v>
      </c>
      <c r="G638" s="93" t="str">
        <f>Table13[[#This Row],[Economic Sector]]</f>
        <v>Arts, entertainment and recreation</v>
      </c>
    </row>
    <row r="639" spans="1:7">
      <c r="A639" s="20" t="str">
        <f>Table13[[#This Row],[Governorate]]</f>
        <v>Mafraq</v>
      </c>
      <c r="B639" s="82">
        <f t="shared" si="18"/>
        <v>1</v>
      </c>
      <c r="C639" s="82">
        <v>0</v>
      </c>
      <c r="D639" s="82">
        <f>Table13[[#This Row],[Women-led]]</f>
        <v>1</v>
      </c>
      <c r="E639" s="83">
        <f t="shared" si="19"/>
        <v>1</v>
      </c>
      <c r="F639" s="92">
        <f>Table13[[#This Row],[Staff Delta]]</f>
        <v>0</v>
      </c>
      <c r="G639" s="93" t="str">
        <f>Table13[[#This Row],[Economic Sector]]</f>
        <v>Human health and social work activities</v>
      </c>
    </row>
    <row r="640" spans="1:7">
      <c r="A640" s="20" t="str">
        <f>Table13[[#This Row],[Governorate]]</f>
        <v>Mafraq</v>
      </c>
      <c r="B640" s="82">
        <f t="shared" si="18"/>
        <v>1</v>
      </c>
      <c r="C640" s="82">
        <v>0</v>
      </c>
      <c r="D640" s="82">
        <f>Table13[[#This Row],[Women-led]]</f>
        <v>1</v>
      </c>
      <c r="E640" s="83">
        <f t="shared" si="19"/>
        <v>1</v>
      </c>
      <c r="F640" s="92">
        <f>Table13[[#This Row],[Staff Delta]]</f>
        <v>0</v>
      </c>
      <c r="G640" s="93" t="str">
        <f>Table13[[#This Row],[Economic Sector]]</f>
        <v>Professional, scientific and technical activities</v>
      </c>
    </row>
    <row r="641" spans="1:7">
      <c r="A641" s="20" t="str">
        <f>Table13[[#This Row],[Governorate]]</f>
        <v>Mafraq</v>
      </c>
      <c r="B641" s="82">
        <f t="shared" si="18"/>
        <v>1</v>
      </c>
      <c r="C641" s="82">
        <v>0</v>
      </c>
      <c r="D641" s="82">
        <f>Table13[[#This Row],[Women-led]]</f>
        <v>1</v>
      </c>
      <c r="E641" s="83">
        <f t="shared" si="19"/>
        <v>1</v>
      </c>
      <c r="F641" s="92">
        <f>Table13[[#This Row],[Staff Delta]]</f>
        <v>0</v>
      </c>
      <c r="G641" s="93" t="str">
        <f>Table13[[#This Row],[Economic Sector]]</f>
        <v>Manufacturing</v>
      </c>
    </row>
    <row r="642" spans="1:7">
      <c r="A642" s="20" t="str">
        <f>Table13[[#This Row],[Governorate]]</f>
        <v>Mafraq</v>
      </c>
      <c r="B642" s="82">
        <f t="shared" si="18"/>
        <v>1</v>
      </c>
      <c r="C642" s="82">
        <v>0</v>
      </c>
      <c r="D642" s="82">
        <f>Table13[[#This Row],[Women-led]]</f>
        <v>1</v>
      </c>
      <c r="E642" s="83">
        <f t="shared" si="19"/>
        <v>1</v>
      </c>
      <c r="F642" s="92">
        <f>Table13[[#This Row],[Staff Delta]]</f>
        <v>0</v>
      </c>
      <c r="G642" s="93" t="str">
        <f>Table13[[#This Row],[Economic Sector]]</f>
        <v>Arts, entertainment and recreation</v>
      </c>
    </row>
    <row r="643" spans="1:7">
      <c r="A643" s="20" t="str">
        <f>Table13[[#This Row],[Governorate]]</f>
        <v>Mafraq</v>
      </c>
      <c r="B643" s="82">
        <f t="shared" si="18"/>
        <v>1</v>
      </c>
      <c r="C643" s="82">
        <v>0</v>
      </c>
      <c r="D643" s="82">
        <f>Table13[[#This Row],[Women-led]]</f>
        <v>1</v>
      </c>
      <c r="E643" s="83">
        <f t="shared" si="19"/>
        <v>1</v>
      </c>
      <c r="F643" s="92">
        <f>Table13[[#This Row],[Staff Delta]]</f>
        <v>0</v>
      </c>
      <c r="G643" s="93" t="str">
        <f>Table13[[#This Row],[Economic Sector]]</f>
        <v>Education</v>
      </c>
    </row>
    <row r="644" spans="1:7">
      <c r="A644" s="20" t="str">
        <f>Table13[[#This Row],[Governorate]]</f>
        <v>Mafraq</v>
      </c>
      <c r="B644" s="82">
        <f t="shared" si="18"/>
        <v>1</v>
      </c>
      <c r="C644" s="82">
        <v>1</v>
      </c>
      <c r="D644" s="82">
        <f>Table13[[#This Row],[Women-led]]</f>
        <v>0</v>
      </c>
      <c r="E644" s="83">
        <f t="shared" si="19"/>
        <v>0</v>
      </c>
      <c r="F644" s="92">
        <f>Table13[[#This Row],[Staff Delta]]</f>
        <v>0</v>
      </c>
      <c r="G644" s="93" t="str">
        <f>Table13[[#This Row],[Economic Sector]]</f>
        <v>Manufacturing</v>
      </c>
    </row>
    <row r="645" spans="1:7">
      <c r="A645" s="20" t="str">
        <f>Table13[[#This Row],[Governorate]]</f>
        <v>Mafraq</v>
      </c>
      <c r="B645" s="82">
        <f t="shared" si="18"/>
        <v>1</v>
      </c>
      <c r="C645" s="82">
        <v>1</v>
      </c>
      <c r="D645" s="82">
        <f>Table13[[#This Row],[Women-led]]</f>
        <v>0</v>
      </c>
      <c r="E645" s="83">
        <f t="shared" si="19"/>
        <v>0</v>
      </c>
      <c r="F645" s="92">
        <f>Table13[[#This Row],[Staff Delta]]</f>
        <v>0</v>
      </c>
      <c r="G645" s="93" t="str">
        <f>Table13[[#This Row],[Economic Sector]]</f>
        <v>Arts, entertainment and recreation</v>
      </c>
    </row>
    <row r="646" spans="1:7">
      <c r="A646" s="20" t="str">
        <f>Table13[[#This Row],[Governorate]]</f>
        <v>Mafraq</v>
      </c>
      <c r="B646" s="82">
        <f t="shared" ref="B646:B670" si="20">C646+D646</f>
        <v>1</v>
      </c>
      <c r="C646" s="82">
        <v>0</v>
      </c>
      <c r="D646" s="82">
        <f>Table13[[#This Row],[Women-led]]</f>
        <v>1</v>
      </c>
      <c r="E646" s="83">
        <f t="shared" ref="E646:E670" si="21">IF(OR(B646="",D646=""),"",IFERROR(D646/B646,""))</f>
        <v>1</v>
      </c>
      <c r="F646" s="92">
        <f>Table13[[#This Row],[Staff Delta]]</f>
        <v>0</v>
      </c>
      <c r="G646" s="93" t="str">
        <f>Table13[[#This Row],[Economic Sector]]</f>
        <v>Electricity, gas, steam and air conditioning supply</v>
      </c>
    </row>
    <row r="647" spans="1:7">
      <c r="A647" s="20" t="str">
        <f>Table13[[#This Row],[Governorate]]</f>
        <v>Tafilah</v>
      </c>
      <c r="B647" s="82">
        <f t="shared" si="20"/>
        <v>1</v>
      </c>
      <c r="C647" s="82">
        <v>0</v>
      </c>
      <c r="D647" s="82">
        <f>Table13[[#This Row],[Women-led]]</f>
        <v>1</v>
      </c>
      <c r="E647" s="83">
        <f t="shared" si="21"/>
        <v>1</v>
      </c>
      <c r="F647" s="92">
        <f>Table13[[#This Row],[Staff Delta]]</f>
        <v>0</v>
      </c>
      <c r="G647" s="93" t="str">
        <f>Table13[[#This Row],[Economic Sector]]</f>
        <v>Arts, entertainment and recreation</v>
      </c>
    </row>
    <row r="648" spans="1:7">
      <c r="A648" s="20" t="str">
        <f>Table13[[#This Row],[Governorate]]</f>
        <v>Tafilah</v>
      </c>
      <c r="B648" s="82">
        <f t="shared" si="20"/>
        <v>1</v>
      </c>
      <c r="C648" s="82">
        <v>0</v>
      </c>
      <c r="D648" s="82">
        <f>Table13[[#This Row],[Women-led]]</f>
        <v>1</v>
      </c>
      <c r="E648" s="83">
        <f t="shared" si="21"/>
        <v>1</v>
      </c>
      <c r="F648" s="92">
        <f>Table13[[#This Row],[Staff Delta]]</f>
        <v>0</v>
      </c>
      <c r="G648" s="93" t="str">
        <f>Table13[[#This Row],[Economic Sector]]</f>
        <v>Arts, entertainment and recreation</v>
      </c>
    </row>
    <row r="649" spans="1:7">
      <c r="A649" s="20" t="str">
        <f>Table13[[#This Row],[Governorate]]</f>
        <v>Tafilah</v>
      </c>
      <c r="B649" s="82">
        <f t="shared" si="20"/>
        <v>1</v>
      </c>
      <c r="C649" s="82">
        <v>0</v>
      </c>
      <c r="D649" s="82">
        <f>Table13[[#This Row],[Women-led]]</f>
        <v>1</v>
      </c>
      <c r="E649" s="83">
        <f t="shared" si="21"/>
        <v>1</v>
      </c>
      <c r="F649" s="92">
        <f>Table13[[#This Row],[Staff Delta]]</f>
        <v>1</v>
      </c>
      <c r="G649" s="93" t="str">
        <f>Table13[[#This Row],[Economic Sector]]</f>
        <v>Manufacturing</v>
      </c>
    </row>
    <row r="650" spans="1:7">
      <c r="A650" s="20" t="str">
        <f>Table13[[#This Row],[Governorate]]</f>
        <v>Tafilah</v>
      </c>
      <c r="B650" s="82">
        <f t="shared" si="20"/>
        <v>1</v>
      </c>
      <c r="C650" s="82">
        <v>0</v>
      </c>
      <c r="D650" s="82">
        <f>Table13[[#This Row],[Women-led]]</f>
        <v>1</v>
      </c>
      <c r="E650" s="83">
        <f t="shared" si="21"/>
        <v>1</v>
      </c>
      <c r="F650" s="92">
        <f>Table13[[#This Row],[Staff Delta]]</f>
        <v>1</v>
      </c>
      <c r="G650" s="93" t="str">
        <f>Table13[[#This Row],[Economic Sector]]</f>
        <v>Manufacturing</v>
      </c>
    </row>
    <row r="651" spans="1:7">
      <c r="A651" s="20" t="str">
        <f>Table13[[#This Row],[Governorate]]</f>
        <v>Tafilah</v>
      </c>
      <c r="B651" s="82">
        <f t="shared" si="20"/>
        <v>1</v>
      </c>
      <c r="C651" s="82">
        <v>0</v>
      </c>
      <c r="D651" s="82">
        <f>Table13[[#This Row],[Women-led]]</f>
        <v>1</v>
      </c>
      <c r="E651" s="83">
        <f t="shared" si="21"/>
        <v>1</v>
      </c>
      <c r="F651" s="92">
        <f>Table13[[#This Row],[Staff Delta]]</f>
        <v>0</v>
      </c>
      <c r="G651" s="93" t="str">
        <f>Table13[[#This Row],[Economic Sector]]</f>
        <v>Manufacturing</v>
      </c>
    </row>
    <row r="652" spans="1:7">
      <c r="A652" s="20" t="str">
        <f>Table13[[#This Row],[Governorate]]</f>
        <v>Tafilah</v>
      </c>
      <c r="B652" s="82">
        <f t="shared" si="20"/>
        <v>1</v>
      </c>
      <c r="C652" s="82">
        <v>0</v>
      </c>
      <c r="D652" s="82">
        <f>Table13[[#This Row],[Women-led]]</f>
        <v>1</v>
      </c>
      <c r="E652" s="83">
        <f t="shared" si="21"/>
        <v>1</v>
      </c>
      <c r="F652" s="92">
        <f>Table13[[#This Row],[Staff Delta]]</f>
        <v>2</v>
      </c>
      <c r="G652" s="93" t="str">
        <f>Table13[[#This Row],[Economic Sector]]</f>
        <v>Arts, entertainment and recreation</v>
      </c>
    </row>
    <row r="653" spans="1:7">
      <c r="A653" s="20" t="str">
        <f>Table13[[#This Row],[Governorate]]</f>
        <v>Tafilah</v>
      </c>
      <c r="B653" s="82">
        <f t="shared" si="20"/>
        <v>1</v>
      </c>
      <c r="C653" s="82">
        <v>0</v>
      </c>
      <c r="D653" s="82">
        <f>Table13[[#This Row],[Women-led]]</f>
        <v>1</v>
      </c>
      <c r="E653" s="83">
        <f t="shared" si="21"/>
        <v>1</v>
      </c>
      <c r="F653" s="92">
        <f>Table13[[#This Row],[Staff Delta]]</f>
        <v>0</v>
      </c>
      <c r="G653" s="93" t="str">
        <f>Table13[[#This Row],[Economic Sector]]</f>
        <v>Manufacturing</v>
      </c>
    </row>
    <row r="654" spans="1:7">
      <c r="A654" s="20" t="str">
        <f>Table13[[#This Row],[Governorate]]</f>
        <v>Tafilah</v>
      </c>
      <c r="B654" s="82">
        <f t="shared" si="20"/>
        <v>1</v>
      </c>
      <c r="C654" s="82">
        <v>0</v>
      </c>
      <c r="D654" s="82">
        <f>Table13[[#This Row],[Women-led]]</f>
        <v>1</v>
      </c>
      <c r="E654" s="83">
        <f t="shared" si="21"/>
        <v>1</v>
      </c>
      <c r="F654" s="92">
        <f>Table13[[#This Row],[Staff Delta]]</f>
        <v>1</v>
      </c>
      <c r="G654" s="93" t="str">
        <f>Table13[[#This Row],[Economic Sector]]</f>
        <v>Manufacturing</v>
      </c>
    </row>
    <row r="655" spans="1:7">
      <c r="A655" s="20" t="str">
        <f>Table13[[#This Row],[Governorate]]</f>
        <v>Tafilah</v>
      </c>
      <c r="B655" s="82">
        <f t="shared" si="20"/>
        <v>1</v>
      </c>
      <c r="C655" s="82">
        <v>1</v>
      </c>
      <c r="D655" s="82">
        <f>Table13[[#This Row],[Women-led]]</f>
        <v>0</v>
      </c>
      <c r="E655" s="83">
        <f t="shared" si="21"/>
        <v>0</v>
      </c>
      <c r="F655" s="92">
        <f>Table13[[#This Row],[Staff Delta]]</f>
        <v>8</v>
      </c>
      <c r="G655" s="93" t="str">
        <f>Table13[[#This Row],[Economic Sector]]</f>
        <v>Construction</v>
      </c>
    </row>
    <row r="656" spans="1:7">
      <c r="A656" s="20" t="str">
        <f>Table13[[#This Row],[Governorate]]</f>
        <v>Tafilah</v>
      </c>
      <c r="B656" s="82">
        <f t="shared" si="20"/>
        <v>1</v>
      </c>
      <c r="C656" s="82">
        <v>1</v>
      </c>
      <c r="D656" s="82">
        <f>Table13[[#This Row],[Women-led]]</f>
        <v>0</v>
      </c>
      <c r="E656" s="83">
        <f t="shared" si="21"/>
        <v>0</v>
      </c>
      <c r="F656" s="92">
        <f>Table13[[#This Row],[Staff Delta]]</f>
        <v>6</v>
      </c>
      <c r="G656" s="93" t="str">
        <f>Table13[[#This Row],[Economic Sector]]</f>
        <v>Manufacturing</v>
      </c>
    </row>
    <row r="657" spans="1:7">
      <c r="A657" s="20" t="str">
        <f>Table13[[#This Row],[Governorate]]</f>
        <v>Tafilah</v>
      </c>
      <c r="B657" s="82">
        <f t="shared" si="20"/>
        <v>1</v>
      </c>
      <c r="C657" s="82">
        <v>1</v>
      </c>
      <c r="D657" s="82">
        <f>Table13[[#This Row],[Women-led]]</f>
        <v>0</v>
      </c>
      <c r="E657" s="83">
        <f t="shared" si="21"/>
        <v>0</v>
      </c>
      <c r="F657" s="92">
        <f>Table13[[#This Row],[Staff Delta]]</f>
        <v>2</v>
      </c>
      <c r="G657" s="93" t="str">
        <f>Table13[[#This Row],[Economic Sector]]</f>
        <v>Accommodation and food service activities</v>
      </c>
    </row>
    <row r="658" spans="1:7">
      <c r="A658" s="20" t="str">
        <f>Table13[[#This Row],[Governorate]]</f>
        <v>Tafilah</v>
      </c>
      <c r="B658" s="82">
        <f t="shared" si="20"/>
        <v>1</v>
      </c>
      <c r="C658" s="82">
        <v>1</v>
      </c>
      <c r="D658" s="82">
        <f>Table13[[#This Row],[Women-led]]</f>
        <v>0</v>
      </c>
      <c r="E658" s="83">
        <f t="shared" si="21"/>
        <v>0</v>
      </c>
      <c r="F658" s="92">
        <f>Table13[[#This Row],[Staff Delta]]</f>
        <v>2</v>
      </c>
      <c r="G658" s="93" t="str">
        <f>Table13[[#This Row],[Economic Sector]]</f>
        <v>Manufacturing</v>
      </c>
    </row>
    <row r="659" spans="1:7">
      <c r="A659" s="20" t="str">
        <f>Table13[[#This Row],[Governorate]]</f>
        <v>Tafilah</v>
      </c>
      <c r="B659" s="82">
        <f t="shared" si="20"/>
        <v>1</v>
      </c>
      <c r="C659" s="82">
        <v>1</v>
      </c>
      <c r="D659" s="82">
        <f>Table13[[#This Row],[Women-led]]</f>
        <v>0</v>
      </c>
      <c r="E659" s="83">
        <f t="shared" si="21"/>
        <v>0</v>
      </c>
      <c r="F659" s="92">
        <f>Table13[[#This Row],[Staff Delta]]</f>
        <v>3</v>
      </c>
      <c r="G659" s="93" t="str">
        <f>Table13[[#This Row],[Economic Sector]]</f>
        <v>Manufacturing</v>
      </c>
    </row>
    <row r="660" spans="1:7">
      <c r="A660" s="20" t="str">
        <f>Table13[[#This Row],[Governorate]]</f>
        <v>Tafilah</v>
      </c>
      <c r="B660" s="82">
        <f t="shared" si="20"/>
        <v>1</v>
      </c>
      <c r="C660" s="82">
        <v>0</v>
      </c>
      <c r="D660" s="82">
        <f>Table13[[#This Row],[Women-led]]</f>
        <v>1</v>
      </c>
      <c r="E660" s="83">
        <f t="shared" si="21"/>
        <v>1</v>
      </c>
      <c r="F660" s="92">
        <f>Table13[[#This Row],[Staff Delta]]</f>
        <v>0</v>
      </c>
      <c r="G660" s="93" t="str">
        <f>Table13[[#This Row],[Economic Sector]]</f>
        <v>Manufacturing</v>
      </c>
    </row>
    <row r="661" spans="1:7">
      <c r="A661" s="20" t="str">
        <f>Table13[[#This Row],[Governorate]]</f>
        <v>Tafilah</v>
      </c>
      <c r="B661" s="82">
        <f t="shared" si="20"/>
        <v>1</v>
      </c>
      <c r="C661" s="82">
        <v>1</v>
      </c>
      <c r="D661" s="82">
        <f>Table13[[#This Row],[Women-led]]</f>
        <v>0</v>
      </c>
      <c r="E661" s="83">
        <f t="shared" si="21"/>
        <v>0</v>
      </c>
      <c r="F661" s="92">
        <f>Table13[[#This Row],[Staff Delta]]</f>
        <v>0</v>
      </c>
      <c r="G661" s="93" t="str">
        <f>Table13[[#This Row],[Economic Sector]]</f>
        <v>Human health and social work activities</v>
      </c>
    </row>
    <row r="662" spans="1:7">
      <c r="A662" s="20" t="str">
        <f>Table13[[#This Row],[Governorate]]</f>
        <v>Tafilah</v>
      </c>
      <c r="B662" s="82">
        <f t="shared" si="20"/>
        <v>1</v>
      </c>
      <c r="C662" s="82">
        <v>1</v>
      </c>
      <c r="D662" s="82">
        <f>Table13[[#This Row],[Women-led]]</f>
        <v>0</v>
      </c>
      <c r="E662" s="83">
        <f t="shared" si="21"/>
        <v>0</v>
      </c>
      <c r="F662" s="92">
        <f>Table13[[#This Row],[Staff Delta]]</f>
        <v>1</v>
      </c>
      <c r="G662" s="93" t="str">
        <f>Table13[[#This Row],[Economic Sector]]</f>
        <v>Arts, entertainment and recreation</v>
      </c>
    </row>
    <row r="663" spans="1:7">
      <c r="A663" s="20" t="str">
        <f>Table13[[#This Row],[Governorate]]</f>
        <v>Tafilah</v>
      </c>
      <c r="B663" s="82">
        <f t="shared" si="20"/>
        <v>1</v>
      </c>
      <c r="C663" s="82">
        <v>1</v>
      </c>
      <c r="D663" s="82">
        <f>Table13[[#This Row],[Women-led]]</f>
        <v>0</v>
      </c>
      <c r="E663" s="83">
        <f t="shared" si="21"/>
        <v>0</v>
      </c>
      <c r="F663" s="92">
        <f>Table13[[#This Row],[Staff Delta]]</f>
        <v>2</v>
      </c>
      <c r="G663" s="93" t="str">
        <f>Table13[[#This Row],[Economic Sector]]</f>
        <v>Accommodation and food service activities</v>
      </c>
    </row>
    <row r="664" spans="1:7">
      <c r="A664" s="20" t="str">
        <f>Table13[[#This Row],[Governorate]]</f>
        <v>Tafilah</v>
      </c>
      <c r="B664" s="82">
        <f t="shared" si="20"/>
        <v>1</v>
      </c>
      <c r="C664" s="82">
        <v>1</v>
      </c>
      <c r="D664" s="82">
        <f>Table13[[#This Row],[Women-led]]</f>
        <v>0</v>
      </c>
      <c r="E664" s="83">
        <f t="shared" si="21"/>
        <v>0</v>
      </c>
      <c r="F664" s="92">
        <f>Table13[[#This Row],[Staff Delta]]</f>
        <v>0</v>
      </c>
      <c r="G664" s="93" t="str">
        <f>Table13[[#This Row],[Economic Sector]]</f>
        <v>Accommodation and food service activities</v>
      </c>
    </row>
    <row r="665" spans="1:7">
      <c r="A665" s="20" t="str">
        <f>Table13[[#This Row],[Governorate]]</f>
        <v>Tafilah</v>
      </c>
      <c r="B665" s="82">
        <f t="shared" si="20"/>
        <v>1</v>
      </c>
      <c r="C665" s="82">
        <v>1</v>
      </c>
      <c r="D665" s="82">
        <f>Table13[[#This Row],[Women-led]]</f>
        <v>0</v>
      </c>
      <c r="E665" s="83">
        <f t="shared" si="21"/>
        <v>0</v>
      </c>
      <c r="F665" s="92">
        <f>Table13[[#This Row],[Staff Delta]]</f>
        <v>0</v>
      </c>
      <c r="G665" s="93" t="str">
        <f>Table13[[#This Row],[Economic Sector]]</f>
        <v>Human health and social work activities</v>
      </c>
    </row>
    <row r="666" spans="1:7">
      <c r="A666" s="20" t="str">
        <f>Table13[[#This Row],[Governorate]]</f>
        <v>Zarqa</v>
      </c>
      <c r="B666" s="82">
        <f t="shared" si="20"/>
        <v>1</v>
      </c>
      <c r="C666" s="82">
        <v>1</v>
      </c>
      <c r="D666" s="82">
        <f>Table13[[#This Row],[Women-led]]</f>
        <v>0</v>
      </c>
      <c r="E666" s="83">
        <f t="shared" si="21"/>
        <v>0</v>
      </c>
      <c r="F666" s="92">
        <f>Table13[[#This Row],[Staff Delta]]</f>
        <v>0</v>
      </c>
      <c r="G666" s="93" t="str">
        <f>Table13[[#This Row],[Economic Sector]]</f>
        <v>Agriculture, forestry and fishing</v>
      </c>
    </row>
    <row r="667" spans="1:7">
      <c r="A667" s="20" t="str">
        <f>Table13[[#This Row],[Governorate]]</f>
        <v>Zarqa</v>
      </c>
      <c r="B667" s="82">
        <f t="shared" si="20"/>
        <v>1</v>
      </c>
      <c r="C667" s="82">
        <v>1</v>
      </c>
      <c r="D667" s="82">
        <f>Table13[[#This Row],[Women-led]]</f>
        <v>0</v>
      </c>
      <c r="E667" s="83">
        <f t="shared" si="21"/>
        <v>0</v>
      </c>
      <c r="F667" s="92">
        <f>Table13[[#This Row],[Staff Delta]]</f>
        <v>0</v>
      </c>
      <c r="G667" s="93" t="str">
        <f>Table13[[#This Row],[Economic Sector]]</f>
        <v>Transportation and storage</v>
      </c>
    </row>
    <row r="668" spans="1:7">
      <c r="A668" s="20" t="str">
        <f>Table13[[#This Row],[Governorate]]</f>
        <v>Zarqa</v>
      </c>
      <c r="B668" s="82">
        <f t="shared" si="20"/>
        <v>1</v>
      </c>
      <c r="C668" s="82">
        <v>1</v>
      </c>
      <c r="D668" s="82">
        <f>Table13[[#This Row],[Women-led]]</f>
        <v>0</v>
      </c>
      <c r="E668" s="83">
        <f t="shared" si="21"/>
        <v>0</v>
      </c>
      <c r="F668" s="92">
        <f>Table13[[#This Row],[Staff Delta]]</f>
        <v>0</v>
      </c>
      <c r="G668" s="93" t="str">
        <f>Table13[[#This Row],[Economic Sector]]</f>
        <v>Manufacturing</v>
      </c>
    </row>
    <row r="669" spans="1:7">
      <c r="A669" s="20" t="str">
        <f>Table13[[#This Row],[Governorate]]</f>
        <v>Zarqa</v>
      </c>
      <c r="B669" s="82">
        <f t="shared" si="20"/>
        <v>1</v>
      </c>
      <c r="C669" s="82">
        <v>0</v>
      </c>
      <c r="D669" s="82">
        <f>Table13[[#This Row],[Women-led]]</f>
        <v>1</v>
      </c>
      <c r="E669" s="83">
        <f t="shared" si="21"/>
        <v>1</v>
      </c>
      <c r="F669" s="92">
        <f>Table13[[#This Row],[Staff Delta]]</f>
        <v>0</v>
      </c>
      <c r="G669" s="93" t="str">
        <f>Table13[[#This Row],[Economic Sector]]</f>
        <v>Human health and social work activities</v>
      </c>
    </row>
    <row r="670" spans="1:7">
      <c r="A670" s="20" t="str">
        <f>Table13[[#This Row],[Governorate]]</f>
        <v>Zarqa</v>
      </c>
      <c r="B670" s="82">
        <f t="shared" si="20"/>
        <v>1</v>
      </c>
      <c r="C670" s="82">
        <v>0</v>
      </c>
      <c r="D670" s="82">
        <f>Table13[[#This Row],[Women-led]]</f>
        <v>1</v>
      </c>
      <c r="E670" s="83">
        <f t="shared" si="21"/>
        <v>1</v>
      </c>
      <c r="F670" s="92">
        <f>Table13[[#This Row],[Staff Delta]]</f>
        <v>0</v>
      </c>
      <c r="G670" s="93" t="str">
        <f>Table13[[#This Row],[Economic Sector]]</f>
        <v>Manufacturing</v>
      </c>
    </row>
  </sheetData>
  <autoFilter ref="A4:G670" xr:uid="{FE189FC5-25D0-4527-A775-69358B9DAD1A}"/>
  <mergeCells count="7">
    <mergeCell ref="A1:G2"/>
    <mergeCell ref="C3:D3"/>
    <mergeCell ref="B3:B4"/>
    <mergeCell ref="A3:A4"/>
    <mergeCell ref="E3:E4"/>
    <mergeCell ref="F3:F4"/>
    <mergeCell ref="G3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6A8D-B46D-40A4-A5EC-D545CEA446B6}">
  <sheetPr>
    <tabColor theme="8" tint="0.39997558519241921"/>
  </sheetPr>
  <dimension ref="B2:E670"/>
  <sheetViews>
    <sheetView topLeftCell="A3" zoomScale="122" zoomScaleNormal="86" workbookViewId="0">
      <pane xSplit="1" topLeftCell="B1" activePane="topRight" state="frozen"/>
      <selection activeCell="A111" sqref="A111"/>
      <selection pane="topRight" activeCell="E5" sqref="E5"/>
    </sheetView>
  </sheetViews>
  <sheetFormatPr baseColWidth="10" defaultColWidth="8.1640625" defaultRowHeight="14"/>
  <cols>
    <col min="1" max="1" width="8.1640625" style="84"/>
    <col min="2" max="2" width="15.6640625" style="84" customWidth="1"/>
    <col min="3" max="3" width="17.33203125" style="84" customWidth="1"/>
    <col min="4" max="4" width="43.33203125" style="84" customWidth="1"/>
    <col min="5" max="7" width="16.6640625" style="84" customWidth="1"/>
    <col min="8" max="16384" width="8.1640625" style="84"/>
  </cols>
  <sheetData>
    <row r="2" spans="2:5">
      <c r="B2" s="84" t="s">
        <v>26</v>
      </c>
    </row>
    <row r="3" spans="2:5" ht="38" customHeight="1">
      <c r="C3" s="91"/>
    </row>
    <row r="4" spans="2:5" s="88" customFormat="1" ht="55.5" customHeight="1">
      <c r="B4" s="89" t="s">
        <v>27</v>
      </c>
      <c r="C4" s="90" t="s">
        <v>1</v>
      </c>
      <c r="D4" s="89" t="s">
        <v>28</v>
      </c>
      <c r="E4" s="89" t="s">
        <v>29</v>
      </c>
    </row>
    <row r="5" spans="2:5" ht="14" customHeight="1">
      <c r="B5" s="43">
        <v>1</v>
      </c>
      <c r="C5" s="43" t="s">
        <v>14</v>
      </c>
      <c r="D5" s="43" t="s">
        <v>30</v>
      </c>
      <c r="E5" s="87">
        <v>0</v>
      </c>
    </row>
    <row r="6" spans="2:5">
      <c r="B6" s="43">
        <v>1</v>
      </c>
      <c r="C6" s="43" t="s">
        <v>14</v>
      </c>
      <c r="D6" s="43" t="s">
        <v>31</v>
      </c>
      <c r="E6" s="43">
        <v>0</v>
      </c>
    </row>
    <row r="7" spans="2:5">
      <c r="B7" s="43">
        <v>0</v>
      </c>
      <c r="C7" s="43" t="s">
        <v>14</v>
      </c>
      <c r="D7" s="43" t="s">
        <v>32</v>
      </c>
      <c r="E7" s="43">
        <v>2</v>
      </c>
    </row>
    <row r="8" spans="2:5">
      <c r="B8" s="43">
        <v>0</v>
      </c>
      <c r="C8" s="43" t="s">
        <v>14</v>
      </c>
      <c r="D8" s="43" t="s">
        <v>33</v>
      </c>
      <c r="E8" s="43">
        <v>1</v>
      </c>
    </row>
    <row r="9" spans="2:5">
      <c r="B9" s="43">
        <v>0</v>
      </c>
      <c r="C9" s="43" t="s">
        <v>14</v>
      </c>
      <c r="D9" s="43" t="s">
        <v>31</v>
      </c>
      <c r="E9" s="43">
        <v>1</v>
      </c>
    </row>
    <row r="10" spans="2:5">
      <c r="B10" s="43">
        <v>1</v>
      </c>
      <c r="C10" s="43" t="s">
        <v>14</v>
      </c>
      <c r="D10" s="43" t="s">
        <v>31</v>
      </c>
      <c r="E10" s="43">
        <v>4</v>
      </c>
    </row>
    <row r="11" spans="2:5">
      <c r="B11" s="43">
        <v>1</v>
      </c>
      <c r="C11" s="43" t="s">
        <v>14</v>
      </c>
      <c r="D11" s="43" t="s">
        <v>33</v>
      </c>
      <c r="E11" s="43">
        <v>0</v>
      </c>
    </row>
    <row r="12" spans="2:5">
      <c r="B12" s="43">
        <v>1</v>
      </c>
      <c r="C12" s="43" t="s">
        <v>14</v>
      </c>
      <c r="D12" s="43" t="s">
        <v>33</v>
      </c>
      <c r="E12" s="43">
        <v>5</v>
      </c>
    </row>
    <row r="13" spans="2:5">
      <c r="B13" s="43">
        <v>1</v>
      </c>
      <c r="C13" s="43" t="s">
        <v>14</v>
      </c>
      <c r="D13" s="43" t="s">
        <v>31</v>
      </c>
      <c r="E13" s="43">
        <v>0</v>
      </c>
    </row>
    <row r="14" spans="2:5">
      <c r="B14" s="43">
        <v>1</v>
      </c>
      <c r="C14" s="43" t="s">
        <v>14</v>
      </c>
      <c r="D14" s="43" t="s">
        <v>31</v>
      </c>
      <c r="E14" s="43">
        <v>0</v>
      </c>
    </row>
    <row r="15" spans="2:5">
      <c r="B15" s="43">
        <v>1</v>
      </c>
      <c r="C15" s="43" t="s">
        <v>14</v>
      </c>
      <c r="D15" s="43" t="s">
        <v>31</v>
      </c>
      <c r="E15" s="43">
        <v>0</v>
      </c>
    </row>
    <row r="16" spans="2:5">
      <c r="B16" s="43">
        <v>1</v>
      </c>
      <c r="C16" s="43" t="s">
        <v>14</v>
      </c>
      <c r="D16" s="43" t="s">
        <v>31</v>
      </c>
      <c r="E16" s="43">
        <v>0</v>
      </c>
    </row>
    <row r="17" spans="2:5">
      <c r="B17" s="43">
        <v>0</v>
      </c>
      <c r="C17" s="43" t="s">
        <v>14</v>
      </c>
      <c r="D17" s="43" t="s">
        <v>33</v>
      </c>
      <c r="E17" s="43">
        <v>0</v>
      </c>
    </row>
    <row r="18" spans="2:5">
      <c r="B18" s="43">
        <v>0</v>
      </c>
      <c r="C18" s="43" t="s">
        <v>14</v>
      </c>
      <c r="D18" s="43" t="s">
        <v>33</v>
      </c>
      <c r="E18" s="43">
        <v>0</v>
      </c>
    </row>
    <row r="19" spans="2:5">
      <c r="B19" s="43">
        <v>1</v>
      </c>
      <c r="C19" s="43" t="s">
        <v>14</v>
      </c>
      <c r="D19" s="43" t="s">
        <v>31</v>
      </c>
      <c r="E19" s="43">
        <v>0</v>
      </c>
    </row>
    <row r="20" spans="2:5">
      <c r="B20" s="43">
        <v>0</v>
      </c>
      <c r="C20" s="43" t="s">
        <v>14</v>
      </c>
      <c r="D20" s="43" t="s">
        <v>33</v>
      </c>
      <c r="E20" s="43">
        <v>0</v>
      </c>
    </row>
    <row r="21" spans="2:5">
      <c r="B21" s="43">
        <v>1</v>
      </c>
      <c r="C21" s="43" t="s">
        <v>14</v>
      </c>
      <c r="D21" s="43" t="s">
        <v>31</v>
      </c>
      <c r="E21" s="43">
        <v>0</v>
      </c>
    </row>
    <row r="22" spans="2:5">
      <c r="B22" s="43">
        <v>1</v>
      </c>
      <c r="C22" s="43" t="s">
        <v>14</v>
      </c>
      <c r="D22" s="43" t="s">
        <v>34</v>
      </c>
      <c r="E22" s="43">
        <v>0</v>
      </c>
    </row>
    <row r="23" spans="2:5">
      <c r="B23" s="43">
        <v>1</v>
      </c>
      <c r="C23" s="43" t="s">
        <v>15</v>
      </c>
      <c r="D23" s="43" t="s">
        <v>35</v>
      </c>
      <c r="E23" s="43">
        <v>3</v>
      </c>
    </row>
    <row r="24" spans="2:5">
      <c r="B24" s="53">
        <v>1</v>
      </c>
      <c r="C24" s="53" t="s">
        <v>15</v>
      </c>
      <c r="D24" s="53" t="s">
        <v>33</v>
      </c>
      <c r="E24" s="43">
        <v>0</v>
      </c>
    </row>
    <row r="25" spans="2:5">
      <c r="B25" s="43">
        <v>1</v>
      </c>
      <c r="C25" s="43" t="s">
        <v>15</v>
      </c>
      <c r="D25" s="43" t="s">
        <v>33</v>
      </c>
      <c r="E25" s="43">
        <v>0</v>
      </c>
    </row>
    <row r="26" spans="2:5">
      <c r="B26" s="43">
        <v>1</v>
      </c>
      <c r="C26" s="43" t="s">
        <v>15</v>
      </c>
      <c r="D26" s="43" t="s">
        <v>34</v>
      </c>
      <c r="E26" s="43">
        <v>3</v>
      </c>
    </row>
    <row r="27" spans="2:5">
      <c r="B27" s="43">
        <v>1</v>
      </c>
      <c r="C27" s="43" t="s">
        <v>15</v>
      </c>
      <c r="D27" s="43" t="s">
        <v>36</v>
      </c>
      <c r="E27" s="43">
        <v>9</v>
      </c>
    </row>
    <row r="28" spans="2:5">
      <c r="B28" s="43">
        <v>0</v>
      </c>
      <c r="C28" s="43" t="s">
        <v>15</v>
      </c>
      <c r="D28" s="43" t="s">
        <v>34</v>
      </c>
      <c r="E28" s="43">
        <v>0</v>
      </c>
    </row>
    <row r="29" spans="2:5">
      <c r="B29" s="43">
        <v>1</v>
      </c>
      <c r="C29" s="43" t="s">
        <v>15</v>
      </c>
      <c r="D29" s="43" t="s">
        <v>32</v>
      </c>
      <c r="E29" s="43">
        <v>0</v>
      </c>
    </row>
    <row r="30" spans="2:5">
      <c r="B30" s="43">
        <v>1</v>
      </c>
      <c r="C30" s="43" t="s">
        <v>15</v>
      </c>
      <c r="D30" s="43" t="s">
        <v>37</v>
      </c>
      <c r="E30" s="43">
        <v>1</v>
      </c>
    </row>
    <row r="31" spans="2:5">
      <c r="B31" s="43">
        <v>1</v>
      </c>
      <c r="C31" s="43" t="s">
        <v>15</v>
      </c>
      <c r="D31" s="43" t="s">
        <v>38</v>
      </c>
      <c r="E31" s="43">
        <v>11</v>
      </c>
    </row>
    <row r="32" spans="2:5" s="86" customFormat="1">
      <c r="B32" s="43">
        <v>0</v>
      </c>
      <c r="C32" s="43" t="s">
        <v>15</v>
      </c>
      <c r="D32" s="43"/>
      <c r="E32" s="43">
        <v>0</v>
      </c>
    </row>
    <row r="33" spans="2:5">
      <c r="B33" s="43">
        <v>0</v>
      </c>
      <c r="C33" s="43" t="s">
        <v>15</v>
      </c>
      <c r="D33" s="43" t="s">
        <v>39</v>
      </c>
      <c r="E33" s="43">
        <v>0</v>
      </c>
    </row>
    <row r="34" spans="2:5">
      <c r="B34" s="43">
        <v>1</v>
      </c>
      <c r="C34" s="43" t="s">
        <v>15</v>
      </c>
      <c r="D34" s="43" t="s">
        <v>40</v>
      </c>
      <c r="E34" s="43">
        <v>0</v>
      </c>
    </row>
    <row r="35" spans="2:5">
      <c r="B35" s="43">
        <v>0</v>
      </c>
      <c r="C35" s="43" t="s">
        <v>15</v>
      </c>
      <c r="D35" s="43" t="s">
        <v>34</v>
      </c>
      <c r="E35" s="43">
        <v>0</v>
      </c>
    </row>
    <row r="36" spans="2:5">
      <c r="B36" s="43">
        <v>0</v>
      </c>
      <c r="C36" s="43" t="s">
        <v>15</v>
      </c>
      <c r="D36" s="43" t="s">
        <v>34</v>
      </c>
      <c r="E36" s="43">
        <v>0</v>
      </c>
    </row>
    <row r="37" spans="2:5">
      <c r="B37" s="43">
        <v>0</v>
      </c>
      <c r="C37" s="43" t="s">
        <v>15</v>
      </c>
      <c r="D37" s="43" t="s">
        <v>34</v>
      </c>
      <c r="E37" s="43">
        <v>0</v>
      </c>
    </row>
    <row r="38" spans="2:5">
      <c r="B38" s="43">
        <v>0</v>
      </c>
      <c r="C38" s="43" t="s">
        <v>15</v>
      </c>
      <c r="D38" s="43" t="s">
        <v>37</v>
      </c>
      <c r="E38" s="43">
        <v>0</v>
      </c>
    </row>
    <row r="39" spans="2:5" s="86" customFormat="1">
      <c r="B39" s="43">
        <v>0</v>
      </c>
      <c r="C39" s="43" t="s">
        <v>15</v>
      </c>
      <c r="D39" s="43" t="s">
        <v>34</v>
      </c>
      <c r="E39" s="43">
        <v>9</v>
      </c>
    </row>
    <row r="40" spans="2:5" s="86" customFormat="1">
      <c r="B40" s="43">
        <v>0</v>
      </c>
      <c r="C40" s="43" t="s">
        <v>15</v>
      </c>
      <c r="D40" s="43" t="s">
        <v>41</v>
      </c>
      <c r="E40" s="43">
        <v>0</v>
      </c>
    </row>
    <row r="41" spans="2:5" s="86" customFormat="1">
      <c r="B41" s="43">
        <v>0</v>
      </c>
      <c r="C41" s="43" t="s">
        <v>15</v>
      </c>
      <c r="D41" s="43" t="s">
        <v>34</v>
      </c>
      <c r="E41" s="43">
        <v>0</v>
      </c>
    </row>
    <row r="42" spans="2:5">
      <c r="B42" s="43">
        <v>0</v>
      </c>
      <c r="C42" s="43" t="s">
        <v>15</v>
      </c>
      <c r="D42" s="43" t="s">
        <v>34</v>
      </c>
      <c r="E42" s="43">
        <v>0</v>
      </c>
    </row>
    <row r="43" spans="2:5">
      <c r="B43" s="43">
        <v>0</v>
      </c>
      <c r="C43" s="43" t="s">
        <v>15</v>
      </c>
      <c r="D43" s="43" t="s">
        <v>42</v>
      </c>
      <c r="E43" s="43">
        <v>0</v>
      </c>
    </row>
    <row r="44" spans="2:5">
      <c r="B44" s="43">
        <v>0</v>
      </c>
      <c r="C44" s="43" t="s">
        <v>15</v>
      </c>
      <c r="D44" s="43" t="s">
        <v>41</v>
      </c>
      <c r="E44" s="43">
        <v>0</v>
      </c>
    </row>
    <row r="45" spans="2:5">
      <c r="B45" s="43">
        <v>1</v>
      </c>
      <c r="C45" s="43" t="s">
        <v>15</v>
      </c>
      <c r="D45" s="43" t="s">
        <v>37</v>
      </c>
      <c r="E45" s="43">
        <v>0</v>
      </c>
    </row>
    <row r="46" spans="2:5">
      <c r="B46" s="43">
        <v>1</v>
      </c>
      <c r="C46" s="43" t="s">
        <v>15</v>
      </c>
      <c r="D46" s="43" t="s">
        <v>40</v>
      </c>
      <c r="E46" s="43">
        <v>0</v>
      </c>
    </row>
    <row r="47" spans="2:5">
      <c r="B47" s="43">
        <v>0</v>
      </c>
      <c r="C47" s="43" t="s">
        <v>15</v>
      </c>
      <c r="D47" s="43" t="s">
        <v>37</v>
      </c>
      <c r="E47" s="43">
        <v>0</v>
      </c>
    </row>
    <row r="48" spans="2:5">
      <c r="B48" s="43">
        <v>0</v>
      </c>
      <c r="C48" s="43" t="s">
        <v>15</v>
      </c>
      <c r="D48" s="43" t="s">
        <v>34</v>
      </c>
      <c r="E48" s="43">
        <v>0</v>
      </c>
    </row>
    <row r="49" spans="2:5">
      <c r="B49" s="85">
        <v>0</v>
      </c>
      <c r="C49" s="85" t="s">
        <v>15</v>
      </c>
      <c r="D49" s="85" t="s">
        <v>41</v>
      </c>
      <c r="E49" s="43">
        <v>0</v>
      </c>
    </row>
    <row r="50" spans="2:5">
      <c r="B50" s="43">
        <v>0</v>
      </c>
      <c r="C50" s="43" t="s">
        <v>15</v>
      </c>
      <c r="D50" s="43" t="s">
        <v>42</v>
      </c>
      <c r="E50" s="43">
        <v>0</v>
      </c>
    </row>
    <row r="51" spans="2:5">
      <c r="B51" s="43">
        <v>1</v>
      </c>
      <c r="C51" s="43" t="s">
        <v>15</v>
      </c>
      <c r="D51" s="43" t="s">
        <v>42</v>
      </c>
      <c r="E51" s="43">
        <v>0</v>
      </c>
    </row>
    <row r="52" spans="2:5">
      <c r="B52" s="43">
        <v>0</v>
      </c>
      <c r="C52" s="43" t="s">
        <v>15</v>
      </c>
      <c r="D52" s="43" t="s">
        <v>36</v>
      </c>
      <c r="E52" s="43">
        <v>0</v>
      </c>
    </row>
    <row r="53" spans="2:5">
      <c r="B53" s="43">
        <v>0</v>
      </c>
      <c r="C53" s="43" t="s">
        <v>15</v>
      </c>
      <c r="D53" s="43" t="s">
        <v>40</v>
      </c>
      <c r="E53" s="43">
        <v>0</v>
      </c>
    </row>
    <row r="54" spans="2:5">
      <c r="B54" s="43">
        <v>1</v>
      </c>
      <c r="C54" s="43" t="s">
        <v>15</v>
      </c>
      <c r="D54" s="43" t="s">
        <v>42</v>
      </c>
      <c r="E54" s="43">
        <v>0</v>
      </c>
    </row>
    <row r="55" spans="2:5">
      <c r="B55" s="43">
        <v>0</v>
      </c>
      <c r="C55" s="43" t="s">
        <v>15</v>
      </c>
      <c r="D55" s="43" t="s">
        <v>30</v>
      </c>
      <c r="E55" s="43">
        <v>0</v>
      </c>
    </row>
    <row r="56" spans="2:5">
      <c r="B56" s="43">
        <v>1</v>
      </c>
      <c r="C56" s="43" t="s">
        <v>15</v>
      </c>
      <c r="D56" s="43" t="s">
        <v>33</v>
      </c>
      <c r="E56" s="43">
        <v>0</v>
      </c>
    </row>
    <row r="57" spans="2:5">
      <c r="B57" s="43">
        <v>1</v>
      </c>
      <c r="C57" s="43" t="s">
        <v>15</v>
      </c>
      <c r="D57" s="43" t="s">
        <v>43</v>
      </c>
      <c r="E57" s="43">
        <v>0</v>
      </c>
    </row>
    <row r="58" spans="2:5">
      <c r="B58" s="43">
        <v>1</v>
      </c>
      <c r="C58" s="43" t="s">
        <v>15</v>
      </c>
      <c r="D58" s="43" t="s">
        <v>40</v>
      </c>
      <c r="E58" s="43">
        <v>0</v>
      </c>
    </row>
    <row r="59" spans="2:5">
      <c r="B59" s="43">
        <v>1</v>
      </c>
      <c r="C59" s="43" t="s">
        <v>15</v>
      </c>
      <c r="D59" s="43" t="s">
        <v>39</v>
      </c>
      <c r="E59" s="43">
        <v>0</v>
      </c>
    </row>
    <row r="60" spans="2:5">
      <c r="B60" s="43">
        <v>1</v>
      </c>
      <c r="C60" s="43" t="s">
        <v>15</v>
      </c>
      <c r="D60" s="43" t="s">
        <v>33</v>
      </c>
      <c r="E60" s="43">
        <v>0</v>
      </c>
    </row>
    <row r="61" spans="2:5">
      <c r="B61" s="43">
        <v>1</v>
      </c>
      <c r="C61" s="43" t="s">
        <v>15</v>
      </c>
      <c r="D61" s="43" t="s">
        <v>33</v>
      </c>
      <c r="E61" s="43">
        <v>0</v>
      </c>
    </row>
    <row r="62" spans="2:5">
      <c r="B62" s="43">
        <v>1</v>
      </c>
      <c r="C62" s="43" t="s">
        <v>15</v>
      </c>
      <c r="D62" s="43" t="s">
        <v>33</v>
      </c>
      <c r="E62" s="43">
        <v>0</v>
      </c>
    </row>
    <row r="63" spans="2:5">
      <c r="B63" s="43">
        <v>1</v>
      </c>
      <c r="C63" s="43" t="s">
        <v>15</v>
      </c>
      <c r="D63" s="43" t="s">
        <v>32</v>
      </c>
      <c r="E63" s="43">
        <v>0</v>
      </c>
    </row>
    <row r="64" spans="2:5">
      <c r="B64" s="43">
        <v>0</v>
      </c>
      <c r="C64" s="43" t="s">
        <v>15</v>
      </c>
      <c r="D64" s="43" t="s">
        <v>33</v>
      </c>
      <c r="E64" s="43">
        <v>0</v>
      </c>
    </row>
    <row r="65" spans="2:5">
      <c r="B65" s="43">
        <v>1</v>
      </c>
      <c r="C65" s="43" t="s">
        <v>15</v>
      </c>
      <c r="D65" s="43" t="s">
        <v>33</v>
      </c>
      <c r="E65" s="43">
        <v>0</v>
      </c>
    </row>
    <row r="66" spans="2:5">
      <c r="B66" s="43">
        <v>1</v>
      </c>
      <c r="C66" s="43" t="s">
        <v>15</v>
      </c>
      <c r="D66" s="43" t="s">
        <v>33</v>
      </c>
      <c r="E66" s="43">
        <v>0</v>
      </c>
    </row>
    <row r="67" spans="2:5">
      <c r="B67" s="43">
        <v>0</v>
      </c>
      <c r="C67" s="43" t="s">
        <v>15</v>
      </c>
      <c r="D67" s="43" t="s">
        <v>33</v>
      </c>
      <c r="E67" s="43">
        <v>0</v>
      </c>
    </row>
    <row r="68" spans="2:5">
      <c r="B68" s="43">
        <v>1</v>
      </c>
      <c r="C68" s="43" t="s">
        <v>15</v>
      </c>
      <c r="D68" s="43" t="s">
        <v>33</v>
      </c>
      <c r="E68" s="43">
        <v>0</v>
      </c>
    </row>
    <row r="69" spans="2:5">
      <c r="B69" s="43">
        <v>1</v>
      </c>
      <c r="C69" s="43" t="s">
        <v>15</v>
      </c>
      <c r="D69" s="43" t="s">
        <v>38</v>
      </c>
      <c r="E69" s="43">
        <v>0</v>
      </c>
    </row>
    <row r="70" spans="2:5">
      <c r="B70" s="43">
        <v>0</v>
      </c>
      <c r="C70" s="43" t="s">
        <v>15</v>
      </c>
      <c r="D70" s="43" t="s">
        <v>31</v>
      </c>
      <c r="E70" s="43">
        <v>0</v>
      </c>
    </row>
    <row r="71" spans="2:5">
      <c r="B71" s="43">
        <v>0</v>
      </c>
      <c r="C71" s="43" t="s">
        <v>15</v>
      </c>
      <c r="D71" s="43" t="s">
        <v>32</v>
      </c>
      <c r="E71" s="43">
        <v>0</v>
      </c>
    </row>
    <row r="72" spans="2:5">
      <c r="B72" s="43">
        <v>1</v>
      </c>
      <c r="C72" s="43" t="s">
        <v>15</v>
      </c>
      <c r="D72" s="43" t="s">
        <v>42</v>
      </c>
      <c r="E72" s="43">
        <v>0</v>
      </c>
    </row>
    <row r="73" spans="2:5">
      <c r="B73" s="43">
        <v>0</v>
      </c>
      <c r="C73" s="43" t="s">
        <v>15</v>
      </c>
      <c r="D73" s="43" t="s">
        <v>42</v>
      </c>
      <c r="E73" s="43">
        <v>0</v>
      </c>
    </row>
    <row r="74" spans="2:5">
      <c r="B74" s="43">
        <v>0</v>
      </c>
      <c r="C74" s="43" t="s">
        <v>15</v>
      </c>
      <c r="D74" s="43" t="s">
        <v>33</v>
      </c>
      <c r="E74" s="43">
        <v>0</v>
      </c>
    </row>
    <row r="75" spans="2:5">
      <c r="B75" s="43">
        <v>0</v>
      </c>
      <c r="C75" s="43" t="s">
        <v>15</v>
      </c>
      <c r="D75" s="43" t="s">
        <v>39</v>
      </c>
      <c r="E75" s="43">
        <v>0</v>
      </c>
    </row>
    <row r="76" spans="2:5">
      <c r="B76" s="43">
        <v>0</v>
      </c>
      <c r="C76" s="43" t="s">
        <v>15</v>
      </c>
      <c r="D76" s="43" t="s">
        <v>37</v>
      </c>
      <c r="E76" s="43">
        <v>0</v>
      </c>
    </row>
    <row r="77" spans="2:5">
      <c r="B77" s="43">
        <v>0</v>
      </c>
      <c r="C77" s="43" t="s">
        <v>15</v>
      </c>
      <c r="D77" s="43" t="s">
        <v>33</v>
      </c>
      <c r="E77" s="43">
        <v>0</v>
      </c>
    </row>
    <row r="78" spans="2:5">
      <c r="B78" s="43">
        <v>0</v>
      </c>
      <c r="C78" s="43" t="s">
        <v>15</v>
      </c>
      <c r="D78" s="43" t="s">
        <v>36</v>
      </c>
      <c r="E78" s="43">
        <v>0</v>
      </c>
    </row>
    <row r="79" spans="2:5">
      <c r="B79" s="43">
        <v>0</v>
      </c>
      <c r="C79" s="43" t="s">
        <v>15</v>
      </c>
      <c r="D79" s="43" t="s">
        <v>42</v>
      </c>
      <c r="E79" s="43">
        <v>0</v>
      </c>
    </row>
    <row r="80" spans="2:5">
      <c r="B80" s="43">
        <v>0</v>
      </c>
      <c r="C80" s="43" t="s">
        <v>15</v>
      </c>
      <c r="D80" s="43" t="s">
        <v>42</v>
      </c>
      <c r="E80" s="43">
        <v>0</v>
      </c>
    </row>
    <row r="81" spans="2:5">
      <c r="B81" s="43">
        <v>0</v>
      </c>
      <c r="C81" s="43" t="s">
        <v>15</v>
      </c>
      <c r="D81" s="43" t="s">
        <v>41</v>
      </c>
      <c r="E81" s="43">
        <v>0</v>
      </c>
    </row>
    <row r="82" spans="2:5">
      <c r="B82" s="43">
        <v>1</v>
      </c>
      <c r="C82" s="43" t="s">
        <v>15</v>
      </c>
      <c r="D82" s="43" t="s">
        <v>40</v>
      </c>
      <c r="E82" s="43">
        <v>0</v>
      </c>
    </row>
    <row r="83" spans="2:5">
      <c r="B83" s="43">
        <v>0</v>
      </c>
      <c r="C83" s="43" t="s">
        <v>15</v>
      </c>
      <c r="D83" s="43" t="s">
        <v>34</v>
      </c>
      <c r="E83" s="43">
        <v>0</v>
      </c>
    </row>
    <row r="84" spans="2:5">
      <c r="B84" s="43">
        <v>0</v>
      </c>
      <c r="C84" s="43" t="s">
        <v>15</v>
      </c>
      <c r="D84" s="43" t="s">
        <v>34</v>
      </c>
      <c r="E84" s="43">
        <v>0</v>
      </c>
    </row>
    <row r="85" spans="2:5">
      <c r="B85" s="43">
        <v>0</v>
      </c>
      <c r="C85" s="43" t="s">
        <v>15</v>
      </c>
      <c r="D85" s="43" t="s">
        <v>44</v>
      </c>
      <c r="E85" s="43">
        <v>0</v>
      </c>
    </row>
    <row r="86" spans="2:5">
      <c r="B86" s="43">
        <v>0</v>
      </c>
      <c r="C86" s="43" t="s">
        <v>15</v>
      </c>
      <c r="D86" s="43" t="s">
        <v>32</v>
      </c>
      <c r="E86" s="43">
        <v>0</v>
      </c>
    </row>
    <row r="87" spans="2:5">
      <c r="B87" s="43">
        <v>0</v>
      </c>
      <c r="C87" s="43" t="s">
        <v>15</v>
      </c>
      <c r="D87" s="43" t="s">
        <v>33</v>
      </c>
      <c r="E87" s="43">
        <v>0</v>
      </c>
    </row>
    <row r="88" spans="2:5">
      <c r="B88" s="43">
        <v>1</v>
      </c>
      <c r="C88" s="43" t="s">
        <v>15</v>
      </c>
      <c r="D88" s="43" t="s">
        <v>36</v>
      </c>
      <c r="E88" s="43">
        <v>0</v>
      </c>
    </row>
    <row r="89" spans="2:5">
      <c r="B89" s="43">
        <v>0</v>
      </c>
      <c r="C89" s="43" t="s">
        <v>15</v>
      </c>
      <c r="D89" s="43" t="s">
        <v>33</v>
      </c>
      <c r="E89" s="43">
        <v>0</v>
      </c>
    </row>
    <row r="90" spans="2:5">
      <c r="B90" s="43">
        <v>0</v>
      </c>
      <c r="C90" s="43" t="s">
        <v>15</v>
      </c>
      <c r="D90" s="43" t="s">
        <v>30</v>
      </c>
      <c r="E90" s="43">
        <v>0</v>
      </c>
    </row>
    <row r="91" spans="2:5">
      <c r="B91" s="43">
        <v>1</v>
      </c>
      <c r="C91" s="43" t="s">
        <v>15</v>
      </c>
      <c r="D91" s="43" t="s">
        <v>40</v>
      </c>
      <c r="E91" s="43">
        <v>0</v>
      </c>
    </row>
    <row r="92" spans="2:5">
      <c r="B92" s="43">
        <v>1</v>
      </c>
      <c r="C92" s="43" t="s">
        <v>15</v>
      </c>
      <c r="D92" s="43" t="s">
        <v>32</v>
      </c>
      <c r="E92" s="43">
        <v>0</v>
      </c>
    </row>
    <row r="93" spans="2:5">
      <c r="B93" s="43">
        <v>1</v>
      </c>
      <c r="C93" s="43" t="s">
        <v>15</v>
      </c>
      <c r="D93" s="43" t="s">
        <v>41</v>
      </c>
      <c r="E93" s="43">
        <v>0</v>
      </c>
    </row>
    <row r="94" spans="2:5">
      <c r="B94" s="43">
        <v>1</v>
      </c>
      <c r="C94" s="43" t="s">
        <v>15</v>
      </c>
      <c r="D94" s="43" t="s">
        <v>42</v>
      </c>
      <c r="E94" s="43">
        <v>0</v>
      </c>
    </row>
    <row r="95" spans="2:5">
      <c r="B95" s="43">
        <v>0</v>
      </c>
      <c r="C95" s="43" t="s">
        <v>15</v>
      </c>
      <c r="D95" s="43" t="s">
        <v>33</v>
      </c>
      <c r="E95" s="43">
        <v>0</v>
      </c>
    </row>
    <row r="96" spans="2:5">
      <c r="B96" s="43">
        <v>0</v>
      </c>
      <c r="C96" s="43" t="s">
        <v>15</v>
      </c>
      <c r="D96" s="43" t="s">
        <v>41</v>
      </c>
      <c r="E96" s="43">
        <v>0</v>
      </c>
    </row>
    <row r="97" spans="2:5">
      <c r="B97" s="43">
        <v>1</v>
      </c>
      <c r="C97" s="43" t="s">
        <v>15</v>
      </c>
      <c r="D97" s="43" t="s">
        <v>40</v>
      </c>
      <c r="E97" s="43">
        <v>0</v>
      </c>
    </row>
    <row r="98" spans="2:5">
      <c r="B98" s="43">
        <v>0</v>
      </c>
      <c r="C98" s="43" t="s">
        <v>15</v>
      </c>
      <c r="D98" s="43" t="s">
        <v>30</v>
      </c>
      <c r="E98" s="43">
        <v>0</v>
      </c>
    </row>
    <row r="99" spans="2:5">
      <c r="B99" s="43">
        <v>0</v>
      </c>
      <c r="C99" s="43" t="s">
        <v>15</v>
      </c>
      <c r="D99" s="43" t="s">
        <v>33</v>
      </c>
      <c r="E99" s="43">
        <v>0</v>
      </c>
    </row>
    <row r="100" spans="2:5">
      <c r="B100" s="43">
        <v>1</v>
      </c>
      <c r="C100" s="43" t="s">
        <v>15</v>
      </c>
      <c r="D100" s="43" t="s">
        <v>33</v>
      </c>
      <c r="E100" s="43">
        <v>0</v>
      </c>
    </row>
    <row r="101" spans="2:5">
      <c r="B101" s="43">
        <v>0</v>
      </c>
      <c r="C101" s="43" t="s">
        <v>15</v>
      </c>
      <c r="D101" s="43" t="s">
        <v>32</v>
      </c>
      <c r="E101" s="43">
        <v>0</v>
      </c>
    </row>
    <row r="102" spans="2:5">
      <c r="B102" s="43">
        <v>0</v>
      </c>
      <c r="C102" s="43" t="s">
        <v>15</v>
      </c>
      <c r="D102" s="43" t="s">
        <v>45</v>
      </c>
      <c r="E102" s="43">
        <v>0</v>
      </c>
    </row>
    <row r="103" spans="2:5">
      <c r="B103" s="43">
        <v>0</v>
      </c>
      <c r="C103" s="43" t="s">
        <v>16</v>
      </c>
      <c r="D103" s="43" t="s">
        <v>33</v>
      </c>
      <c r="E103" s="43">
        <v>3</v>
      </c>
    </row>
    <row r="104" spans="2:5">
      <c r="B104" s="43">
        <v>0</v>
      </c>
      <c r="C104" s="43" t="s">
        <v>16</v>
      </c>
      <c r="D104" s="43" t="s">
        <v>42</v>
      </c>
      <c r="E104" s="43">
        <v>11</v>
      </c>
    </row>
    <row r="105" spans="2:5">
      <c r="B105" s="43">
        <v>1</v>
      </c>
      <c r="C105" s="43" t="s">
        <v>16</v>
      </c>
      <c r="D105" s="43" t="s">
        <v>31</v>
      </c>
      <c r="E105" s="43">
        <v>0</v>
      </c>
    </row>
    <row r="106" spans="2:5">
      <c r="B106" s="53">
        <v>1</v>
      </c>
      <c r="C106" s="53" t="s">
        <v>16</v>
      </c>
      <c r="D106" s="53" t="s">
        <v>34</v>
      </c>
      <c r="E106" s="43">
        <v>0</v>
      </c>
    </row>
    <row r="107" spans="2:5">
      <c r="B107" s="43">
        <v>0</v>
      </c>
      <c r="C107" s="43" t="s">
        <v>16</v>
      </c>
      <c r="D107" s="43" t="s">
        <v>34</v>
      </c>
      <c r="E107" s="43">
        <v>0</v>
      </c>
    </row>
    <row r="108" spans="2:5">
      <c r="B108" s="43">
        <v>1</v>
      </c>
      <c r="C108" s="43" t="s">
        <v>16</v>
      </c>
      <c r="D108" s="43" t="s">
        <v>37</v>
      </c>
      <c r="E108" s="43">
        <v>3</v>
      </c>
    </row>
    <row r="109" spans="2:5">
      <c r="B109" s="43">
        <v>1</v>
      </c>
      <c r="C109" s="43" t="s">
        <v>16</v>
      </c>
      <c r="D109" s="43" t="s">
        <v>41</v>
      </c>
      <c r="E109" s="43">
        <v>0</v>
      </c>
    </row>
    <row r="110" spans="2:5">
      <c r="B110" s="53">
        <v>1</v>
      </c>
      <c r="C110" s="53" t="s">
        <v>16</v>
      </c>
      <c r="D110" s="53" t="s">
        <v>33</v>
      </c>
      <c r="E110" s="43">
        <v>0</v>
      </c>
    </row>
    <row r="111" spans="2:5">
      <c r="B111" s="53">
        <v>1</v>
      </c>
      <c r="C111" s="53" t="s">
        <v>16</v>
      </c>
      <c r="D111" s="53" t="s">
        <v>33</v>
      </c>
      <c r="E111" s="43">
        <v>0</v>
      </c>
    </row>
    <row r="112" spans="2:5">
      <c r="B112" s="43">
        <v>0</v>
      </c>
      <c r="C112" s="43" t="s">
        <v>16</v>
      </c>
      <c r="D112" s="43" t="s">
        <v>34</v>
      </c>
      <c r="E112" s="43">
        <v>2</v>
      </c>
    </row>
    <row r="113" spans="2:5">
      <c r="B113" s="43">
        <v>0</v>
      </c>
      <c r="C113" s="43" t="s">
        <v>16</v>
      </c>
      <c r="D113" s="43" t="s">
        <v>39</v>
      </c>
      <c r="E113" s="43">
        <v>0</v>
      </c>
    </row>
    <row r="114" spans="2:5">
      <c r="B114" s="43">
        <v>0</v>
      </c>
      <c r="C114" s="43" t="s">
        <v>16</v>
      </c>
      <c r="D114" s="43" t="s">
        <v>38</v>
      </c>
      <c r="E114" s="43">
        <v>1</v>
      </c>
    </row>
    <row r="115" spans="2:5">
      <c r="B115" s="43">
        <v>0</v>
      </c>
      <c r="C115" s="43" t="s">
        <v>16</v>
      </c>
      <c r="D115" s="43" t="s">
        <v>31</v>
      </c>
      <c r="E115" s="43">
        <v>0</v>
      </c>
    </row>
    <row r="116" spans="2:5">
      <c r="B116" s="43">
        <v>0</v>
      </c>
      <c r="C116" s="43" t="s">
        <v>16</v>
      </c>
      <c r="D116" s="43" t="s">
        <v>42</v>
      </c>
      <c r="E116" s="43">
        <v>1</v>
      </c>
    </row>
    <row r="117" spans="2:5">
      <c r="B117" s="43">
        <v>1</v>
      </c>
      <c r="C117" s="43" t="s">
        <v>16</v>
      </c>
      <c r="D117" s="43" t="s">
        <v>34</v>
      </c>
      <c r="E117" s="43">
        <v>0</v>
      </c>
    </row>
    <row r="118" spans="2:5">
      <c r="B118" s="43">
        <v>1</v>
      </c>
      <c r="C118" s="43" t="s">
        <v>16</v>
      </c>
      <c r="D118" s="43" t="s">
        <v>44</v>
      </c>
      <c r="E118" s="43">
        <v>6</v>
      </c>
    </row>
    <row r="119" spans="2:5">
      <c r="B119" s="43">
        <v>0</v>
      </c>
      <c r="C119" s="43" t="s">
        <v>16</v>
      </c>
      <c r="D119" s="43" t="s">
        <v>42</v>
      </c>
      <c r="E119" s="43">
        <v>0</v>
      </c>
    </row>
    <row r="120" spans="2:5">
      <c r="B120" s="43">
        <v>1</v>
      </c>
      <c r="C120" s="43" t="s">
        <v>16</v>
      </c>
      <c r="D120" s="43" t="s">
        <v>32</v>
      </c>
      <c r="E120" s="43">
        <v>1</v>
      </c>
    </row>
    <row r="121" spans="2:5">
      <c r="B121" s="43">
        <v>1</v>
      </c>
      <c r="C121" s="43" t="s">
        <v>16</v>
      </c>
      <c r="D121" s="43" t="s">
        <v>37</v>
      </c>
      <c r="E121" s="43">
        <v>0</v>
      </c>
    </row>
    <row r="122" spans="2:5">
      <c r="B122" s="43">
        <v>1</v>
      </c>
      <c r="C122" s="43" t="s">
        <v>16</v>
      </c>
      <c r="D122" s="43" t="s">
        <v>31</v>
      </c>
      <c r="E122" s="43">
        <v>0</v>
      </c>
    </row>
    <row r="123" spans="2:5">
      <c r="B123" s="43">
        <v>1</v>
      </c>
      <c r="C123" s="43" t="s">
        <v>16</v>
      </c>
      <c r="D123" s="43" t="s">
        <v>37</v>
      </c>
      <c r="E123" s="43">
        <v>0</v>
      </c>
    </row>
    <row r="124" spans="2:5">
      <c r="B124" s="43">
        <v>1</v>
      </c>
      <c r="C124" s="43" t="s">
        <v>16</v>
      </c>
      <c r="D124" s="43" t="s">
        <v>34</v>
      </c>
      <c r="E124" s="43">
        <v>0</v>
      </c>
    </row>
    <row r="125" spans="2:5">
      <c r="B125" s="43">
        <v>0</v>
      </c>
      <c r="C125" s="43" t="s">
        <v>16</v>
      </c>
      <c r="D125" s="43" t="s">
        <v>40</v>
      </c>
      <c r="E125" s="43">
        <v>0</v>
      </c>
    </row>
    <row r="126" spans="2:5">
      <c r="B126" s="43">
        <v>0</v>
      </c>
      <c r="C126" s="43" t="s">
        <v>16</v>
      </c>
      <c r="D126" s="43" t="s">
        <v>39</v>
      </c>
      <c r="E126" s="43">
        <v>5</v>
      </c>
    </row>
    <row r="127" spans="2:5">
      <c r="B127" s="43">
        <v>1</v>
      </c>
      <c r="C127" s="43" t="s">
        <v>16</v>
      </c>
      <c r="D127" s="43" t="s">
        <v>32</v>
      </c>
      <c r="E127" s="43">
        <v>0</v>
      </c>
    </row>
    <row r="128" spans="2:5">
      <c r="B128" s="43">
        <v>1</v>
      </c>
      <c r="C128" s="43" t="s">
        <v>16</v>
      </c>
      <c r="D128" s="43" t="s">
        <v>33</v>
      </c>
      <c r="E128" s="43">
        <v>0</v>
      </c>
    </row>
    <row r="129" spans="2:5">
      <c r="B129" s="43">
        <v>1</v>
      </c>
      <c r="C129" s="43" t="s">
        <v>16</v>
      </c>
      <c r="D129" s="43" t="s">
        <v>37</v>
      </c>
      <c r="E129" s="43">
        <v>0</v>
      </c>
    </row>
    <row r="130" spans="2:5">
      <c r="B130" s="43">
        <v>1</v>
      </c>
      <c r="C130" s="43" t="s">
        <v>16</v>
      </c>
      <c r="D130" s="43" t="s">
        <v>33</v>
      </c>
      <c r="E130" s="43">
        <v>1</v>
      </c>
    </row>
    <row r="131" spans="2:5">
      <c r="B131" s="43">
        <v>1</v>
      </c>
      <c r="C131" s="43" t="s">
        <v>16</v>
      </c>
      <c r="D131" s="43"/>
      <c r="E131" s="43">
        <v>0</v>
      </c>
    </row>
    <row r="132" spans="2:5">
      <c r="B132" s="43">
        <v>0</v>
      </c>
      <c r="C132" s="43" t="s">
        <v>16</v>
      </c>
      <c r="D132" s="43" t="s">
        <v>33</v>
      </c>
      <c r="E132" s="43">
        <v>0</v>
      </c>
    </row>
    <row r="133" spans="2:5">
      <c r="B133" s="43">
        <v>1</v>
      </c>
      <c r="C133" s="43" t="s">
        <v>16</v>
      </c>
      <c r="D133" s="43" t="s">
        <v>33</v>
      </c>
      <c r="E133" s="43">
        <v>0</v>
      </c>
    </row>
    <row r="134" spans="2:5">
      <c r="B134" s="43">
        <v>1</v>
      </c>
      <c r="C134" s="43" t="s">
        <v>16</v>
      </c>
      <c r="D134" s="43" t="s">
        <v>42</v>
      </c>
      <c r="E134" s="43">
        <v>0</v>
      </c>
    </row>
    <row r="135" spans="2:5">
      <c r="B135" s="43">
        <v>0</v>
      </c>
      <c r="C135" s="43" t="s">
        <v>16</v>
      </c>
      <c r="D135" s="43" t="s">
        <v>41</v>
      </c>
      <c r="E135" s="43">
        <v>3</v>
      </c>
    </row>
    <row r="136" spans="2:5">
      <c r="B136" s="43">
        <v>1</v>
      </c>
      <c r="C136" s="43" t="s">
        <v>16</v>
      </c>
      <c r="D136" s="43" t="s">
        <v>45</v>
      </c>
      <c r="E136" s="43">
        <v>1</v>
      </c>
    </row>
    <row r="137" spans="2:5">
      <c r="B137" s="43">
        <v>1</v>
      </c>
      <c r="C137" s="43" t="s">
        <v>16</v>
      </c>
      <c r="D137" s="43" t="s">
        <v>36</v>
      </c>
      <c r="E137" s="43">
        <v>5</v>
      </c>
    </row>
    <row r="138" spans="2:5">
      <c r="B138" s="43">
        <v>0</v>
      </c>
      <c r="C138" s="43" t="s">
        <v>16</v>
      </c>
      <c r="D138" s="43" t="s">
        <v>31</v>
      </c>
      <c r="E138" s="43">
        <v>2</v>
      </c>
    </row>
    <row r="139" spans="2:5">
      <c r="B139" s="43">
        <v>1</v>
      </c>
      <c r="C139" s="43" t="s">
        <v>16</v>
      </c>
      <c r="D139" s="43" t="s">
        <v>33</v>
      </c>
      <c r="E139" s="43">
        <v>0</v>
      </c>
    </row>
    <row r="140" spans="2:5">
      <c r="B140" s="43">
        <v>1</v>
      </c>
      <c r="C140" s="43" t="s">
        <v>16</v>
      </c>
      <c r="D140" s="43" t="s">
        <v>31</v>
      </c>
      <c r="E140" s="43">
        <v>0</v>
      </c>
    </row>
    <row r="141" spans="2:5">
      <c r="B141" s="43">
        <v>0</v>
      </c>
      <c r="C141" s="43" t="s">
        <v>16</v>
      </c>
      <c r="D141" s="43" t="s">
        <v>41</v>
      </c>
      <c r="E141" s="43">
        <v>0</v>
      </c>
    </row>
    <row r="142" spans="2:5">
      <c r="B142" s="43">
        <v>1</v>
      </c>
      <c r="C142" s="43" t="s">
        <v>16</v>
      </c>
      <c r="D142" s="43" t="s">
        <v>37</v>
      </c>
      <c r="E142" s="43">
        <v>0</v>
      </c>
    </row>
    <row r="143" spans="2:5">
      <c r="B143" s="43">
        <v>1</v>
      </c>
      <c r="C143" s="43" t="s">
        <v>16</v>
      </c>
      <c r="D143" s="43" t="s">
        <v>33</v>
      </c>
      <c r="E143" s="43">
        <v>1</v>
      </c>
    </row>
    <row r="144" spans="2:5">
      <c r="B144" s="43">
        <v>0</v>
      </c>
      <c r="C144" s="43" t="s">
        <v>16</v>
      </c>
      <c r="D144" s="43" t="s">
        <v>34</v>
      </c>
      <c r="E144" s="43">
        <v>0</v>
      </c>
    </row>
    <row r="145" spans="2:5">
      <c r="B145" s="43">
        <v>1</v>
      </c>
      <c r="C145" s="43" t="s">
        <v>16</v>
      </c>
      <c r="D145" s="43" t="s">
        <v>41</v>
      </c>
      <c r="E145" s="43">
        <v>0</v>
      </c>
    </row>
    <row r="146" spans="2:5">
      <c r="B146" s="43">
        <v>1</v>
      </c>
      <c r="C146" s="43" t="s">
        <v>16</v>
      </c>
      <c r="D146" s="43" t="s">
        <v>33</v>
      </c>
      <c r="E146" s="43">
        <v>0</v>
      </c>
    </row>
    <row r="147" spans="2:5">
      <c r="B147" s="43">
        <v>1</v>
      </c>
      <c r="C147" s="43" t="s">
        <v>16</v>
      </c>
      <c r="D147" s="43" t="s">
        <v>39</v>
      </c>
      <c r="E147" s="43">
        <v>0</v>
      </c>
    </row>
    <row r="148" spans="2:5">
      <c r="B148" s="43">
        <v>0</v>
      </c>
      <c r="C148" s="43" t="s">
        <v>16</v>
      </c>
      <c r="D148" s="43" t="s">
        <v>39</v>
      </c>
      <c r="E148" s="43">
        <v>3</v>
      </c>
    </row>
    <row r="149" spans="2:5">
      <c r="B149" s="43">
        <v>1</v>
      </c>
      <c r="C149" s="43" t="s">
        <v>16</v>
      </c>
      <c r="D149" s="43" t="s">
        <v>33</v>
      </c>
      <c r="E149" s="43">
        <v>0</v>
      </c>
    </row>
    <row r="150" spans="2:5">
      <c r="B150" s="43">
        <v>1</v>
      </c>
      <c r="C150" s="43" t="s">
        <v>16</v>
      </c>
      <c r="D150" s="43" t="s">
        <v>33</v>
      </c>
      <c r="E150" s="43">
        <v>2</v>
      </c>
    </row>
    <row r="151" spans="2:5">
      <c r="B151" s="43">
        <v>1</v>
      </c>
      <c r="C151" s="43" t="s">
        <v>16</v>
      </c>
      <c r="D151" s="43" t="s">
        <v>42</v>
      </c>
      <c r="E151" s="43">
        <v>0</v>
      </c>
    </row>
    <row r="152" spans="2:5">
      <c r="B152" s="43">
        <v>0</v>
      </c>
      <c r="C152" s="43" t="s">
        <v>16</v>
      </c>
      <c r="D152" s="43" t="s">
        <v>32</v>
      </c>
      <c r="E152" s="43">
        <v>1</v>
      </c>
    </row>
    <row r="153" spans="2:5">
      <c r="B153" s="43">
        <v>1</v>
      </c>
      <c r="C153" s="43" t="s">
        <v>16</v>
      </c>
      <c r="D153" s="43" t="s">
        <v>31</v>
      </c>
      <c r="E153" s="43">
        <v>0</v>
      </c>
    </row>
    <row r="154" spans="2:5">
      <c r="B154" s="43">
        <v>0</v>
      </c>
      <c r="C154" s="43" t="s">
        <v>16</v>
      </c>
      <c r="D154" s="43" t="s">
        <v>32</v>
      </c>
      <c r="E154" s="43">
        <v>0</v>
      </c>
    </row>
    <row r="155" spans="2:5">
      <c r="B155" s="43">
        <v>1</v>
      </c>
      <c r="C155" s="43" t="s">
        <v>16</v>
      </c>
      <c r="D155" s="43" t="s">
        <v>33</v>
      </c>
      <c r="E155" s="43">
        <v>0</v>
      </c>
    </row>
    <row r="156" spans="2:5">
      <c r="B156" s="43">
        <v>1</v>
      </c>
      <c r="C156" s="43" t="s">
        <v>16</v>
      </c>
      <c r="D156" s="43" t="s">
        <v>34</v>
      </c>
      <c r="E156" s="43">
        <v>0</v>
      </c>
    </row>
    <row r="157" spans="2:5">
      <c r="B157" s="43">
        <v>0</v>
      </c>
      <c r="C157" s="43" t="s">
        <v>16</v>
      </c>
      <c r="D157" s="43" t="s">
        <v>32</v>
      </c>
      <c r="E157" s="43">
        <v>4</v>
      </c>
    </row>
    <row r="158" spans="2:5">
      <c r="B158" s="43">
        <v>1</v>
      </c>
      <c r="C158" s="43" t="s">
        <v>16</v>
      </c>
      <c r="D158" s="43" t="s">
        <v>41</v>
      </c>
      <c r="E158" s="43">
        <v>0</v>
      </c>
    </row>
    <row r="159" spans="2:5">
      <c r="B159" s="43">
        <v>1</v>
      </c>
      <c r="C159" s="43" t="s">
        <v>16</v>
      </c>
      <c r="D159" s="43" t="s">
        <v>41</v>
      </c>
      <c r="E159" s="43">
        <v>0</v>
      </c>
    </row>
    <row r="160" spans="2:5">
      <c r="B160" s="43">
        <v>1</v>
      </c>
      <c r="C160" s="43" t="s">
        <v>16</v>
      </c>
      <c r="D160" s="43" t="s">
        <v>37</v>
      </c>
      <c r="E160" s="43">
        <v>0</v>
      </c>
    </row>
    <row r="161" spans="2:5">
      <c r="B161" s="43">
        <v>0</v>
      </c>
      <c r="C161" s="43" t="s">
        <v>16</v>
      </c>
      <c r="D161" s="43" t="s">
        <v>31</v>
      </c>
      <c r="E161" s="43">
        <v>0</v>
      </c>
    </row>
    <row r="162" spans="2:5">
      <c r="B162" s="43">
        <v>1</v>
      </c>
      <c r="C162" s="43" t="s">
        <v>16</v>
      </c>
      <c r="D162" s="43" t="s">
        <v>33</v>
      </c>
      <c r="E162" s="43">
        <v>1</v>
      </c>
    </row>
    <row r="163" spans="2:5">
      <c r="B163" s="43">
        <v>1</v>
      </c>
      <c r="C163" s="43" t="s">
        <v>16</v>
      </c>
      <c r="D163" s="43" t="s">
        <v>42</v>
      </c>
      <c r="E163" s="43">
        <v>0</v>
      </c>
    </row>
    <row r="164" spans="2:5">
      <c r="B164" s="43">
        <v>1</v>
      </c>
      <c r="C164" s="43" t="s">
        <v>16</v>
      </c>
      <c r="D164" s="43" t="s">
        <v>41</v>
      </c>
      <c r="E164" s="43">
        <v>0</v>
      </c>
    </row>
    <row r="165" spans="2:5">
      <c r="B165" s="43">
        <v>1</v>
      </c>
      <c r="C165" s="43" t="s">
        <v>16</v>
      </c>
      <c r="D165" s="43" t="s">
        <v>41</v>
      </c>
      <c r="E165" s="43">
        <v>0</v>
      </c>
    </row>
    <row r="166" spans="2:5">
      <c r="B166" s="43">
        <v>1</v>
      </c>
      <c r="C166" s="43" t="s">
        <v>16</v>
      </c>
      <c r="D166" s="43" t="s">
        <v>41</v>
      </c>
      <c r="E166" s="43">
        <v>0</v>
      </c>
    </row>
    <row r="167" spans="2:5">
      <c r="B167" s="43">
        <v>1</v>
      </c>
      <c r="C167" s="43" t="s">
        <v>16</v>
      </c>
      <c r="D167" s="43" t="s">
        <v>41</v>
      </c>
      <c r="E167" s="43">
        <v>0</v>
      </c>
    </row>
    <row r="168" spans="2:5">
      <c r="B168" s="43">
        <v>1</v>
      </c>
      <c r="C168" s="43" t="s">
        <v>16</v>
      </c>
      <c r="D168" s="43" t="s">
        <v>37</v>
      </c>
      <c r="E168" s="43">
        <v>0</v>
      </c>
    </row>
    <row r="169" spans="2:5">
      <c r="B169" s="43">
        <v>0</v>
      </c>
      <c r="C169" s="43" t="s">
        <v>16</v>
      </c>
      <c r="D169" s="43" t="s">
        <v>41</v>
      </c>
      <c r="E169" s="43">
        <v>0</v>
      </c>
    </row>
    <row r="170" spans="2:5">
      <c r="B170" s="43">
        <v>0</v>
      </c>
      <c r="C170" s="43" t="s">
        <v>16</v>
      </c>
      <c r="D170" s="43" t="s">
        <v>33</v>
      </c>
      <c r="E170" s="43">
        <v>0</v>
      </c>
    </row>
    <row r="171" spans="2:5">
      <c r="B171" s="43">
        <v>0</v>
      </c>
      <c r="C171" s="43" t="s">
        <v>16</v>
      </c>
      <c r="D171" s="43" t="s">
        <v>36</v>
      </c>
      <c r="E171" s="43">
        <v>1</v>
      </c>
    </row>
    <row r="172" spans="2:5">
      <c r="B172" s="43">
        <v>1</v>
      </c>
      <c r="C172" s="43" t="s">
        <v>16</v>
      </c>
      <c r="D172" s="43" t="s">
        <v>39</v>
      </c>
      <c r="E172" s="43">
        <v>1</v>
      </c>
    </row>
    <row r="173" spans="2:5">
      <c r="B173" s="43">
        <v>0</v>
      </c>
      <c r="C173" s="43" t="s">
        <v>16</v>
      </c>
      <c r="D173" s="43" t="s">
        <v>39</v>
      </c>
      <c r="E173" s="43">
        <v>0</v>
      </c>
    </row>
    <row r="174" spans="2:5">
      <c r="B174" s="43">
        <v>1</v>
      </c>
      <c r="C174" s="43" t="s">
        <v>16</v>
      </c>
      <c r="D174" s="43" t="s">
        <v>42</v>
      </c>
      <c r="E174" s="43">
        <v>0</v>
      </c>
    </row>
    <row r="175" spans="2:5">
      <c r="B175" s="43">
        <v>1</v>
      </c>
      <c r="C175" s="43" t="s">
        <v>16</v>
      </c>
      <c r="D175" s="43" t="s">
        <v>38</v>
      </c>
      <c r="E175" s="43">
        <v>0</v>
      </c>
    </row>
    <row r="176" spans="2:5">
      <c r="B176" s="43">
        <v>0</v>
      </c>
      <c r="C176" s="43" t="s">
        <v>16</v>
      </c>
      <c r="D176" s="43" t="s">
        <v>42</v>
      </c>
      <c r="E176" s="43">
        <v>0</v>
      </c>
    </row>
    <row r="177" spans="2:5">
      <c r="B177" s="43">
        <v>0</v>
      </c>
      <c r="C177" s="43" t="s">
        <v>16</v>
      </c>
      <c r="D177" s="43" t="s">
        <v>42</v>
      </c>
      <c r="E177" s="43">
        <v>0</v>
      </c>
    </row>
    <row r="178" spans="2:5">
      <c r="B178" s="43">
        <v>1</v>
      </c>
      <c r="C178" s="43" t="s">
        <v>16</v>
      </c>
      <c r="D178" s="43" t="s">
        <v>42</v>
      </c>
      <c r="E178" s="43">
        <v>0</v>
      </c>
    </row>
    <row r="179" spans="2:5">
      <c r="B179" s="43">
        <v>0</v>
      </c>
      <c r="C179" s="43" t="s">
        <v>16</v>
      </c>
      <c r="D179" s="43" t="s">
        <v>33</v>
      </c>
      <c r="E179" s="43">
        <v>1</v>
      </c>
    </row>
    <row r="180" spans="2:5">
      <c r="B180" s="43">
        <v>1</v>
      </c>
      <c r="C180" s="43" t="s">
        <v>16</v>
      </c>
      <c r="D180" s="43" t="s">
        <v>33</v>
      </c>
      <c r="E180" s="43">
        <v>0</v>
      </c>
    </row>
    <row r="181" spans="2:5">
      <c r="B181" s="43">
        <v>1</v>
      </c>
      <c r="C181" s="43" t="s">
        <v>16</v>
      </c>
      <c r="D181" s="43" t="s">
        <v>33</v>
      </c>
      <c r="E181" s="43">
        <v>0</v>
      </c>
    </row>
    <row r="182" spans="2:5">
      <c r="B182" s="43">
        <v>1</v>
      </c>
      <c r="C182" s="43" t="s">
        <v>16</v>
      </c>
      <c r="D182" s="43" t="s">
        <v>33</v>
      </c>
      <c r="E182" s="43">
        <v>0</v>
      </c>
    </row>
    <row r="183" spans="2:5">
      <c r="B183" s="43">
        <v>0</v>
      </c>
      <c r="C183" s="43" t="s">
        <v>16</v>
      </c>
      <c r="D183" s="43" t="s">
        <v>44</v>
      </c>
      <c r="E183" s="43">
        <v>2</v>
      </c>
    </row>
    <row r="184" spans="2:5">
      <c r="B184" s="43">
        <v>0</v>
      </c>
      <c r="C184" s="43" t="s">
        <v>16</v>
      </c>
      <c r="D184" s="43" t="s">
        <v>41</v>
      </c>
      <c r="E184" s="43">
        <v>0</v>
      </c>
    </row>
    <row r="185" spans="2:5">
      <c r="B185" s="43">
        <v>1</v>
      </c>
      <c r="C185" s="43" t="s">
        <v>16</v>
      </c>
      <c r="D185" s="43" t="s">
        <v>42</v>
      </c>
      <c r="E185" s="43">
        <v>0</v>
      </c>
    </row>
    <row r="186" spans="2:5">
      <c r="B186" s="43">
        <v>0</v>
      </c>
      <c r="C186" s="43" t="s">
        <v>16</v>
      </c>
      <c r="D186" s="43" t="s">
        <v>30</v>
      </c>
      <c r="E186" s="43">
        <v>1</v>
      </c>
    </row>
    <row r="187" spans="2:5">
      <c r="B187" s="43">
        <v>1</v>
      </c>
      <c r="C187" s="43" t="s">
        <v>16</v>
      </c>
      <c r="D187" s="43" t="s">
        <v>33</v>
      </c>
      <c r="E187" s="43">
        <v>0</v>
      </c>
    </row>
    <row r="188" spans="2:5">
      <c r="B188" s="43">
        <v>1</v>
      </c>
      <c r="C188" s="43" t="s">
        <v>16</v>
      </c>
      <c r="D188" s="43" t="s">
        <v>34</v>
      </c>
      <c r="E188" s="43">
        <v>0</v>
      </c>
    </row>
    <row r="189" spans="2:5">
      <c r="B189" s="43">
        <v>0</v>
      </c>
      <c r="C189" s="43" t="s">
        <v>16</v>
      </c>
      <c r="D189" s="43" t="s">
        <v>39</v>
      </c>
      <c r="E189" s="43">
        <v>0</v>
      </c>
    </row>
    <row r="190" spans="2:5">
      <c r="B190" s="43">
        <v>0</v>
      </c>
      <c r="C190" s="43" t="s">
        <v>16</v>
      </c>
      <c r="D190" s="43" t="s">
        <v>31</v>
      </c>
      <c r="E190" s="43">
        <v>3</v>
      </c>
    </row>
    <row r="191" spans="2:5">
      <c r="B191" s="43">
        <v>0</v>
      </c>
      <c r="C191" s="43" t="s">
        <v>16</v>
      </c>
      <c r="D191" s="43" t="s">
        <v>42</v>
      </c>
      <c r="E191" s="43">
        <v>5</v>
      </c>
    </row>
    <row r="192" spans="2:5">
      <c r="B192" s="43">
        <v>1</v>
      </c>
      <c r="C192" s="43" t="s">
        <v>16</v>
      </c>
      <c r="D192" s="43" t="s">
        <v>42</v>
      </c>
      <c r="E192" s="43">
        <v>0</v>
      </c>
    </row>
    <row r="193" spans="2:5">
      <c r="B193" s="43">
        <v>0</v>
      </c>
      <c r="C193" s="43" t="s">
        <v>16</v>
      </c>
      <c r="D193" s="43" t="s">
        <v>31</v>
      </c>
      <c r="E193" s="43">
        <v>12</v>
      </c>
    </row>
    <row r="194" spans="2:5">
      <c r="B194" s="43">
        <v>1</v>
      </c>
      <c r="C194" s="43" t="s">
        <v>16</v>
      </c>
      <c r="D194" s="43" t="s">
        <v>40</v>
      </c>
      <c r="E194" s="43">
        <v>0</v>
      </c>
    </row>
    <row r="195" spans="2:5">
      <c r="B195" s="43">
        <v>1</v>
      </c>
      <c r="C195" s="43" t="s">
        <v>16</v>
      </c>
      <c r="D195" s="43" t="s">
        <v>33</v>
      </c>
      <c r="E195" s="43">
        <v>0</v>
      </c>
    </row>
    <row r="196" spans="2:5">
      <c r="B196" s="43">
        <v>0</v>
      </c>
      <c r="C196" s="43" t="s">
        <v>16</v>
      </c>
      <c r="D196" s="43" t="s">
        <v>33</v>
      </c>
      <c r="E196" s="43">
        <v>3</v>
      </c>
    </row>
    <row r="197" spans="2:5">
      <c r="B197" s="43">
        <v>0</v>
      </c>
      <c r="C197" s="43" t="s">
        <v>16</v>
      </c>
      <c r="D197" s="43" t="s">
        <v>43</v>
      </c>
      <c r="E197" s="43">
        <v>0</v>
      </c>
    </row>
    <row r="198" spans="2:5">
      <c r="B198" s="43">
        <v>1</v>
      </c>
      <c r="C198" s="43" t="s">
        <v>16</v>
      </c>
      <c r="D198" s="43" t="s">
        <v>33</v>
      </c>
      <c r="E198" s="43">
        <v>0</v>
      </c>
    </row>
    <row r="199" spans="2:5">
      <c r="B199" s="43">
        <v>0</v>
      </c>
      <c r="C199" s="43" t="s">
        <v>16</v>
      </c>
      <c r="D199" s="43" t="s">
        <v>42</v>
      </c>
      <c r="E199" s="43">
        <v>1</v>
      </c>
    </row>
    <row r="200" spans="2:5">
      <c r="B200" s="43">
        <v>0</v>
      </c>
      <c r="C200" s="43" t="s">
        <v>16</v>
      </c>
      <c r="D200" s="43" t="s">
        <v>33</v>
      </c>
      <c r="E200" s="43">
        <v>5</v>
      </c>
    </row>
    <row r="201" spans="2:5">
      <c r="B201" s="43">
        <v>1</v>
      </c>
      <c r="C201" s="43" t="s">
        <v>16</v>
      </c>
      <c r="D201" s="43" t="s">
        <v>42</v>
      </c>
      <c r="E201" s="43">
        <v>0</v>
      </c>
    </row>
    <row r="202" spans="2:5">
      <c r="B202" s="43">
        <v>1</v>
      </c>
      <c r="C202" s="43" t="s">
        <v>16</v>
      </c>
      <c r="D202" s="43" t="s">
        <v>33</v>
      </c>
      <c r="E202" s="43">
        <v>0</v>
      </c>
    </row>
    <row r="203" spans="2:5">
      <c r="B203" s="43">
        <v>1</v>
      </c>
      <c r="C203" s="43" t="s">
        <v>16</v>
      </c>
      <c r="D203" s="43" t="s">
        <v>40</v>
      </c>
      <c r="E203" s="43">
        <v>1</v>
      </c>
    </row>
    <row r="204" spans="2:5">
      <c r="B204" s="43">
        <v>1</v>
      </c>
      <c r="C204" s="43" t="s">
        <v>16</v>
      </c>
      <c r="D204" s="43" t="s">
        <v>33</v>
      </c>
      <c r="E204" s="43">
        <v>0</v>
      </c>
    </row>
    <row r="205" spans="2:5">
      <c r="B205" s="43">
        <v>1</v>
      </c>
      <c r="C205" s="43" t="s">
        <v>16</v>
      </c>
      <c r="D205" s="43" t="s">
        <v>40</v>
      </c>
      <c r="E205" s="43">
        <v>0</v>
      </c>
    </row>
    <row r="206" spans="2:5">
      <c r="B206" s="43">
        <v>1</v>
      </c>
      <c r="C206" s="43" t="s">
        <v>16</v>
      </c>
      <c r="D206" s="43" t="s">
        <v>34</v>
      </c>
      <c r="E206" s="43">
        <v>0</v>
      </c>
    </row>
    <row r="207" spans="2:5">
      <c r="B207" s="43">
        <v>0</v>
      </c>
      <c r="C207" s="43" t="s">
        <v>16</v>
      </c>
      <c r="D207" s="43" t="s">
        <v>42</v>
      </c>
      <c r="E207" s="43">
        <v>0</v>
      </c>
    </row>
    <row r="208" spans="2:5">
      <c r="B208" s="43">
        <v>0</v>
      </c>
      <c r="C208" s="43" t="s">
        <v>16</v>
      </c>
      <c r="D208" s="43" t="s">
        <v>40</v>
      </c>
      <c r="E208" s="43">
        <v>0</v>
      </c>
    </row>
    <row r="209" spans="2:5">
      <c r="B209" s="43">
        <v>0</v>
      </c>
      <c r="C209" s="43" t="s">
        <v>16</v>
      </c>
      <c r="D209" s="43" t="s">
        <v>31</v>
      </c>
      <c r="E209" s="43">
        <v>0</v>
      </c>
    </row>
    <row r="210" spans="2:5">
      <c r="B210" s="43">
        <v>1</v>
      </c>
      <c r="C210" s="43" t="s">
        <v>16</v>
      </c>
      <c r="D210" s="43" t="s">
        <v>42</v>
      </c>
      <c r="E210" s="43">
        <v>0</v>
      </c>
    </row>
    <row r="211" spans="2:5">
      <c r="B211" s="43">
        <v>1</v>
      </c>
      <c r="C211" s="43" t="s">
        <v>16</v>
      </c>
      <c r="D211" s="43" t="s">
        <v>42</v>
      </c>
      <c r="E211" s="43">
        <v>0</v>
      </c>
    </row>
    <row r="212" spans="2:5">
      <c r="B212" s="43">
        <v>1</v>
      </c>
      <c r="C212" s="43" t="s">
        <v>16</v>
      </c>
      <c r="D212" s="43" t="s">
        <v>38</v>
      </c>
      <c r="E212" s="43">
        <v>0</v>
      </c>
    </row>
    <row r="213" spans="2:5">
      <c r="B213" s="43">
        <v>0</v>
      </c>
      <c r="C213" s="43" t="s">
        <v>16</v>
      </c>
      <c r="D213" s="43" t="s">
        <v>40</v>
      </c>
      <c r="E213" s="43">
        <v>0</v>
      </c>
    </row>
    <row r="214" spans="2:5">
      <c r="B214" s="43">
        <v>1</v>
      </c>
      <c r="C214" s="43" t="s">
        <v>16</v>
      </c>
      <c r="D214" s="43" t="s">
        <v>39</v>
      </c>
      <c r="E214" s="43">
        <v>0</v>
      </c>
    </row>
    <row r="215" spans="2:5">
      <c r="B215" s="43">
        <v>1</v>
      </c>
      <c r="C215" s="43" t="s">
        <v>16</v>
      </c>
      <c r="D215" s="43" t="s">
        <v>33</v>
      </c>
      <c r="E215" s="43">
        <v>0</v>
      </c>
    </row>
    <row r="216" spans="2:5">
      <c r="B216" s="43">
        <v>1</v>
      </c>
      <c r="C216" s="43" t="s">
        <v>16</v>
      </c>
      <c r="D216" s="43" t="s">
        <v>33</v>
      </c>
      <c r="E216" s="43">
        <v>2</v>
      </c>
    </row>
    <row r="217" spans="2:5">
      <c r="B217" s="43">
        <v>0</v>
      </c>
      <c r="C217" s="43" t="s">
        <v>16</v>
      </c>
      <c r="D217" s="43" t="s">
        <v>42</v>
      </c>
      <c r="E217" s="43">
        <v>0</v>
      </c>
    </row>
    <row r="218" spans="2:5">
      <c r="B218" s="43">
        <v>1</v>
      </c>
      <c r="C218" s="43" t="s">
        <v>16</v>
      </c>
      <c r="D218" s="43" t="s">
        <v>30</v>
      </c>
      <c r="E218" s="43">
        <v>0</v>
      </c>
    </row>
    <row r="219" spans="2:5">
      <c r="B219" s="43">
        <v>0</v>
      </c>
      <c r="C219" s="43" t="s">
        <v>16</v>
      </c>
      <c r="D219" s="43" t="s">
        <v>43</v>
      </c>
      <c r="E219" s="43">
        <v>0</v>
      </c>
    </row>
    <row r="220" spans="2:5">
      <c r="B220" s="43">
        <v>0</v>
      </c>
      <c r="C220" s="43" t="s">
        <v>16</v>
      </c>
      <c r="D220" s="43" t="s">
        <v>42</v>
      </c>
      <c r="E220" s="43">
        <v>0</v>
      </c>
    </row>
    <row r="221" spans="2:5">
      <c r="B221" s="43">
        <v>1</v>
      </c>
      <c r="C221" s="43" t="s">
        <v>16</v>
      </c>
      <c r="D221" s="43" t="s">
        <v>39</v>
      </c>
      <c r="E221" s="43">
        <v>1</v>
      </c>
    </row>
    <row r="222" spans="2:5">
      <c r="B222" s="43">
        <v>0</v>
      </c>
      <c r="C222" s="43" t="s">
        <v>16</v>
      </c>
      <c r="D222" s="43" t="s">
        <v>34</v>
      </c>
      <c r="E222" s="43">
        <v>0</v>
      </c>
    </row>
    <row r="223" spans="2:5">
      <c r="B223" s="43">
        <v>0</v>
      </c>
      <c r="C223" s="43" t="s">
        <v>16</v>
      </c>
      <c r="D223" s="43" t="s">
        <v>39</v>
      </c>
      <c r="E223" s="43">
        <v>0</v>
      </c>
    </row>
    <row r="224" spans="2:5">
      <c r="B224" s="43">
        <v>1</v>
      </c>
      <c r="C224" s="43" t="s">
        <v>16</v>
      </c>
      <c r="D224" s="43" t="s">
        <v>33</v>
      </c>
      <c r="E224" s="43">
        <v>1</v>
      </c>
    </row>
    <row r="225" spans="2:5">
      <c r="B225" s="43">
        <v>1</v>
      </c>
      <c r="C225" s="43" t="s">
        <v>16</v>
      </c>
      <c r="D225" s="43" t="s">
        <v>41</v>
      </c>
      <c r="E225" s="43">
        <v>0</v>
      </c>
    </row>
    <row r="226" spans="2:5">
      <c r="B226" s="43">
        <v>1</v>
      </c>
      <c r="C226" s="43" t="s">
        <v>16</v>
      </c>
      <c r="D226" s="43" t="s">
        <v>33</v>
      </c>
      <c r="E226" s="43">
        <v>0</v>
      </c>
    </row>
    <row r="227" spans="2:5">
      <c r="B227" s="43">
        <v>0</v>
      </c>
      <c r="C227" s="43" t="s">
        <v>16</v>
      </c>
      <c r="D227" s="43" t="s">
        <v>36</v>
      </c>
      <c r="E227" s="43">
        <v>0</v>
      </c>
    </row>
    <row r="228" spans="2:5">
      <c r="B228" s="43">
        <v>0</v>
      </c>
      <c r="C228" s="43" t="s">
        <v>16</v>
      </c>
      <c r="D228" s="43" t="s">
        <v>42</v>
      </c>
      <c r="E228" s="43">
        <v>0</v>
      </c>
    </row>
    <row r="229" spans="2:5">
      <c r="B229" s="43">
        <v>1</v>
      </c>
      <c r="C229" s="43" t="s">
        <v>16</v>
      </c>
      <c r="D229" s="43" t="s">
        <v>33</v>
      </c>
      <c r="E229" s="43">
        <v>0</v>
      </c>
    </row>
    <row r="230" spans="2:5">
      <c r="B230" s="43">
        <v>0</v>
      </c>
      <c r="C230" s="43" t="s">
        <v>16</v>
      </c>
      <c r="D230" s="43" t="s">
        <v>42</v>
      </c>
      <c r="E230" s="43">
        <v>0</v>
      </c>
    </row>
    <row r="231" spans="2:5">
      <c r="B231" s="43">
        <v>1</v>
      </c>
      <c r="C231" s="43" t="s">
        <v>16</v>
      </c>
      <c r="D231" s="43" t="s">
        <v>42</v>
      </c>
      <c r="E231" s="43">
        <v>0</v>
      </c>
    </row>
    <row r="232" spans="2:5">
      <c r="B232" s="43">
        <v>1</v>
      </c>
      <c r="C232" s="43" t="s">
        <v>16</v>
      </c>
      <c r="D232" s="43" t="s">
        <v>34</v>
      </c>
      <c r="E232" s="43">
        <v>2</v>
      </c>
    </row>
    <row r="233" spans="2:5">
      <c r="B233" s="43">
        <v>0</v>
      </c>
      <c r="C233" s="43" t="s">
        <v>16</v>
      </c>
      <c r="D233" s="43" t="s">
        <v>42</v>
      </c>
      <c r="E233" s="43">
        <v>0</v>
      </c>
    </row>
    <row r="234" spans="2:5">
      <c r="B234" s="43">
        <v>1</v>
      </c>
      <c r="C234" s="43" t="s">
        <v>16</v>
      </c>
      <c r="D234" s="43" t="s">
        <v>30</v>
      </c>
      <c r="E234" s="43">
        <v>1</v>
      </c>
    </row>
    <row r="235" spans="2:5">
      <c r="B235" s="43">
        <v>0</v>
      </c>
      <c r="C235" s="43" t="s">
        <v>16</v>
      </c>
      <c r="D235" s="43" t="s">
        <v>33</v>
      </c>
      <c r="E235" s="43">
        <v>0</v>
      </c>
    </row>
    <row r="236" spans="2:5">
      <c r="B236" s="43">
        <v>0</v>
      </c>
      <c r="C236" s="43" t="s">
        <v>16</v>
      </c>
      <c r="D236" s="43" t="s">
        <v>34</v>
      </c>
      <c r="E236" s="43">
        <v>1</v>
      </c>
    </row>
    <row r="237" spans="2:5">
      <c r="B237" s="43">
        <v>1</v>
      </c>
      <c r="C237" s="43" t="s">
        <v>16</v>
      </c>
      <c r="D237" s="43" t="s">
        <v>33</v>
      </c>
      <c r="E237" s="43">
        <v>3</v>
      </c>
    </row>
    <row r="238" spans="2:5">
      <c r="B238" s="43">
        <v>1</v>
      </c>
      <c r="C238" s="43" t="s">
        <v>16</v>
      </c>
      <c r="D238" s="43" t="s">
        <v>34</v>
      </c>
      <c r="E238" s="43">
        <v>1</v>
      </c>
    </row>
    <row r="239" spans="2:5">
      <c r="B239" s="43">
        <v>0</v>
      </c>
      <c r="C239" s="43" t="s">
        <v>16</v>
      </c>
      <c r="D239" s="43" t="s">
        <v>32</v>
      </c>
      <c r="E239" s="43">
        <v>0</v>
      </c>
    </row>
    <row r="240" spans="2:5">
      <c r="B240" s="43">
        <v>1</v>
      </c>
      <c r="C240" s="43" t="s">
        <v>16</v>
      </c>
      <c r="D240" s="43" t="s">
        <v>42</v>
      </c>
      <c r="E240" s="43">
        <v>0</v>
      </c>
    </row>
    <row r="241" spans="2:5">
      <c r="B241" s="43">
        <v>0</v>
      </c>
      <c r="C241" s="43" t="s">
        <v>16</v>
      </c>
      <c r="D241" s="43" t="s">
        <v>41</v>
      </c>
      <c r="E241" s="43">
        <v>0</v>
      </c>
    </row>
    <row r="242" spans="2:5">
      <c r="B242" s="43">
        <v>1</v>
      </c>
      <c r="C242" s="43" t="s">
        <v>16</v>
      </c>
      <c r="D242" s="43" t="s">
        <v>39</v>
      </c>
      <c r="E242" s="43">
        <v>0</v>
      </c>
    </row>
    <row r="243" spans="2:5">
      <c r="B243" s="43">
        <v>0</v>
      </c>
      <c r="C243" s="43" t="s">
        <v>16</v>
      </c>
      <c r="D243" s="43" t="s">
        <v>33</v>
      </c>
      <c r="E243" s="43">
        <v>0</v>
      </c>
    </row>
    <row r="244" spans="2:5">
      <c r="B244" s="43">
        <v>1</v>
      </c>
      <c r="C244" s="43" t="s">
        <v>16</v>
      </c>
      <c r="D244" s="43" t="s">
        <v>37</v>
      </c>
      <c r="E244" s="43">
        <v>0</v>
      </c>
    </row>
    <row r="245" spans="2:5">
      <c r="B245" s="43">
        <v>1</v>
      </c>
      <c r="C245" s="43" t="s">
        <v>16</v>
      </c>
      <c r="D245" s="43" t="s">
        <v>37</v>
      </c>
      <c r="E245" s="43">
        <v>0</v>
      </c>
    </row>
    <row r="246" spans="2:5">
      <c r="B246" s="43">
        <v>0</v>
      </c>
      <c r="C246" s="43" t="s">
        <v>16</v>
      </c>
      <c r="D246" s="43" t="s">
        <v>40</v>
      </c>
      <c r="E246" s="43">
        <v>0</v>
      </c>
    </row>
    <row r="247" spans="2:5">
      <c r="B247" s="43">
        <v>0</v>
      </c>
      <c r="C247" s="43" t="s">
        <v>16</v>
      </c>
      <c r="D247" s="43" t="s">
        <v>33</v>
      </c>
      <c r="E247" s="43">
        <v>0</v>
      </c>
    </row>
    <row r="248" spans="2:5">
      <c r="B248" s="43">
        <v>0</v>
      </c>
      <c r="C248" s="43" t="s">
        <v>16</v>
      </c>
      <c r="D248" s="43" t="s">
        <v>39</v>
      </c>
      <c r="E248" s="43">
        <v>0</v>
      </c>
    </row>
    <row r="249" spans="2:5">
      <c r="B249" s="43">
        <v>0</v>
      </c>
      <c r="C249" s="43" t="s">
        <v>16</v>
      </c>
      <c r="D249" s="43" t="s">
        <v>33</v>
      </c>
      <c r="E249" s="43">
        <v>0</v>
      </c>
    </row>
    <row r="250" spans="2:5">
      <c r="B250" s="43">
        <v>1</v>
      </c>
      <c r="C250" s="43" t="s">
        <v>16</v>
      </c>
      <c r="D250" s="43" t="s">
        <v>33</v>
      </c>
      <c r="E250" s="43">
        <v>0</v>
      </c>
    </row>
    <row r="251" spans="2:5">
      <c r="B251" s="43">
        <v>1</v>
      </c>
      <c r="C251" s="43" t="s">
        <v>17</v>
      </c>
      <c r="D251" s="43" t="s">
        <v>32</v>
      </c>
      <c r="E251" s="43">
        <v>3</v>
      </c>
    </row>
    <row r="252" spans="2:5">
      <c r="B252" s="43">
        <v>0</v>
      </c>
      <c r="C252" s="43" t="s">
        <v>17</v>
      </c>
      <c r="D252" s="43" t="s">
        <v>46</v>
      </c>
      <c r="E252" s="43">
        <v>0</v>
      </c>
    </row>
    <row r="253" spans="2:5">
      <c r="B253" s="43">
        <v>1</v>
      </c>
      <c r="C253" s="43" t="s">
        <v>17</v>
      </c>
      <c r="D253" s="43" t="s">
        <v>32</v>
      </c>
      <c r="E253" s="43">
        <v>0</v>
      </c>
    </row>
    <row r="254" spans="2:5">
      <c r="B254" s="43">
        <v>1</v>
      </c>
      <c r="C254" s="43" t="s">
        <v>17</v>
      </c>
      <c r="D254" s="43" t="s">
        <v>38</v>
      </c>
      <c r="E254" s="43">
        <v>0</v>
      </c>
    </row>
    <row r="255" spans="2:5">
      <c r="B255" s="43">
        <v>1</v>
      </c>
      <c r="C255" s="43" t="s">
        <v>18</v>
      </c>
      <c r="D255" s="43" t="s">
        <v>47</v>
      </c>
      <c r="E255" s="43">
        <v>5</v>
      </c>
    </row>
    <row r="256" spans="2:5">
      <c r="B256" s="43">
        <v>1</v>
      </c>
      <c r="C256" s="43" t="s">
        <v>18</v>
      </c>
      <c r="D256" s="43" t="s">
        <v>48</v>
      </c>
      <c r="E256" s="43">
        <v>2</v>
      </c>
    </row>
    <row r="257" spans="2:5">
      <c r="B257" s="43">
        <v>1</v>
      </c>
      <c r="C257" s="43" t="s">
        <v>18</v>
      </c>
      <c r="D257" s="43" t="s">
        <v>32</v>
      </c>
      <c r="E257" s="43">
        <v>0</v>
      </c>
    </row>
    <row r="258" spans="2:5">
      <c r="B258" s="43">
        <v>1</v>
      </c>
      <c r="C258" s="43" t="s">
        <v>18</v>
      </c>
      <c r="D258" s="43" t="s">
        <v>32</v>
      </c>
      <c r="E258" s="43">
        <v>8</v>
      </c>
    </row>
    <row r="259" spans="2:5">
      <c r="B259" s="43">
        <v>1</v>
      </c>
      <c r="C259" s="43" t="s">
        <v>18</v>
      </c>
      <c r="D259" s="43" t="s">
        <v>34</v>
      </c>
      <c r="E259" s="43">
        <v>0</v>
      </c>
    </row>
    <row r="260" spans="2:5">
      <c r="B260" s="43">
        <v>1</v>
      </c>
      <c r="C260" s="43" t="s">
        <v>18</v>
      </c>
      <c r="D260" s="43" t="s">
        <v>33</v>
      </c>
      <c r="E260" s="43">
        <v>3</v>
      </c>
    </row>
    <row r="261" spans="2:5">
      <c r="B261" s="43">
        <v>1</v>
      </c>
      <c r="C261" s="43" t="s">
        <v>18</v>
      </c>
      <c r="D261" s="43" t="s">
        <v>38</v>
      </c>
      <c r="E261" s="43">
        <v>3</v>
      </c>
    </row>
    <row r="262" spans="2:5">
      <c r="B262" s="43">
        <v>1</v>
      </c>
      <c r="C262" s="43" t="s">
        <v>18</v>
      </c>
      <c r="D262" s="43" t="s">
        <v>38</v>
      </c>
      <c r="E262" s="43">
        <v>3</v>
      </c>
    </row>
    <row r="263" spans="2:5">
      <c r="B263" s="43">
        <v>1</v>
      </c>
      <c r="C263" s="43" t="s">
        <v>18</v>
      </c>
      <c r="D263" s="43" t="s">
        <v>38</v>
      </c>
      <c r="E263" s="43">
        <v>3</v>
      </c>
    </row>
    <row r="264" spans="2:5">
      <c r="B264" s="43">
        <v>0</v>
      </c>
      <c r="C264" s="43" t="s">
        <v>18</v>
      </c>
      <c r="D264" s="43" t="s">
        <v>32</v>
      </c>
      <c r="E264" s="43">
        <v>3</v>
      </c>
    </row>
    <row r="265" spans="2:5">
      <c r="B265" s="43">
        <v>0</v>
      </c>
      <c r="C265" s="43" t="s">
        <v>18</v>
      </c>
      <c r="D265" s="43" t="s">
        <v>33</v>
      </c>
      <c r="E265" s="43">
        <v>2</v>
      </c>
    </row>
    <row r="266" spans="2:5">
      <c r="B266" s="43">
        <v>1</v>
      </c>
      <c r="C266" s="43" t="s">
        <v>18</v>
      </c>
      <c r="D266" s="43" t="s">
        <v>33</v>
      </c>
      <c r="E266" s="43">
        <v>0</v>
      </c>
    </row>
    <row r="267" spans="2:5">
      <c r="B267" s="43">
        <v>1</v>
      </c>
      <c r="C267" s="43" t="s">
        <v>18</v>
      </c>
      <c r="D267" s="43" t="s">
        <v>40</v>
      </c>
      <c r="E267" s="43">
        <v>3</v>
      </c>
    </row>
    <row r="268" spans="2:5">
      <c r="B268" s="43">
        <v>1</v>
      </c>
      <c r="C268" s="43" t="s">
        <v>18</v>
      </c>
      <c r="D268" s="43" t="s">
        <v>33</v>
      </c>
      <c r="E268" s="43">
        <v>0</v>
      </c>
    </row>
    <row r="269" spans="2:5">
      <c r="B269" s="43">
        <v>0</v>
      </c>
      <c r="C269" s="43" t="s">
        <v>18</v>
      </c>
      <c r="D269" s="43" t="s">
        <v>32</v>
      </c>
      <c r="E269" s="43">
        <v>0</v>
      </c>
    </row>
    <row r="270" spans="2:5">
      <c r="B270" s="43">
        <v>1</v>
      </c>
      <c r="C270" s="43" t="s">
        <v>18</v>
      </c>
      <c r="D270" s="43" t="s">
        <v>32</v>
      </c>
      <c r="E270" s="43">
        <v>4</v>
      </c>
    </row>
    <row r="271" spans="2:5">
      <c r="B271" s="43">
        <v>1</v>
      </c>
      <c r="C271" s="43" t="s">
        <v>18</v>
      </c>
      <c r="D271" s="43" t="s">
        <v>40</v>
      </c>
      <c r="E271" s="43">
        <v>3</v>
      </c>
    </row>
    <row r="272" spans="2:5">
      <c r="B272" s="43">
        <v>0</v>
      </c>
      <c r="C272" s="43" t="s">
        <v>18</v>
      </c>
      <c r="D272" s="43" t="s">
        <v>40</v>
      </c>
      <c r="E272" s="43">
        <v>3</v>
      </c>
    </row>
    <row r="273" spans="2:5">
      <c r="B273" s="43">
        <v>0</v>
      </c>
      <c r="C273" s="43" t="s">
        <v>18</v>
      </c>
      <c r="D273" s="43" t="s">
        <v>37</v>
      </c>
      <c r="E273" s="43">
        <v>2</v>
      </c>
    </row>
    <row r="274" spans="2:5">
      <c r="B274" s="43">
        <v>0</v>
      </c>
      <c r="C274" s="43" t="s">
        <v>18</v>
      </c>
      <c r="D274" s="43" t="s">
        <v>33</v>
      </c>
      <c r="E274" s="43">
        <v>1</v>
      </c>
    </row>
    <row r="275" spans="2:5">
      <c r="B275" s="43">
        <v>1</v>
      </c>
      <c r="C275" s="43" t="s">
        <v>18</v>
      </c>
      <c r="D275" s="43" t="s">
        <v>33</v>
      </c>
      <c r="E275" s="43">
        <v>2</v>
      </c>
    </row>
    <row r="276" spans="2:5">
      <c r="B276" s="43">
        <v>1</v>
      </c>
      <c r="C276" s="43" t="s">
        <v>18</v>
      </c>
      <c r="D276" s="43" t="s">
        <v>33</v>
      </c>
      <c r="E276" s="43">
        <v>2</v>
      </c>
    </row>
    <row r="277" spans="2:5">
      <c r="B277" s="43">
        <v>0</v>
      </c>
      <c r="C277" s="43" t="s">
        <v>18</v>
      </c>
      <c r="D277" s="43" t="s">
        <v>32</v>
      </c>
      <c r="E277" s="43">
        <v>0</v>
      </c>
    </row>
    <row r="278" spans="2:5">
      <c r="B278" s="43">
        <v>1</v>
      </c>
      <c r="C278" s="43" t="s">
        <v>18</v>
      </c>
      <c r="D278" s="43" t="s">
        <v>33</v>
      </c>
      <c r="E278" s="43">
        <v>0</v>
      </c>
    </row>
    <row r="279" spans="2:5">
      <c r="B279" s="43">
        <v>0</v>
      </c>
      <c r="C279" s="43" t="s">
        <v>18</v>
      </c>
      <c r="D279" s="43" t="s">
        <v>33</v>
      </c>
      <c r="E279" s="43">
        <v>7</v>
      </c>
    </row>
    <row r="280" spans="2:5">
      <c r="B280" s="43">
        <v>1</v>
      </c>
      <c r="C280" s="43" t="s">
        <v>18</v>
      </c>
      <c r="D280" s="43" t="s">
        <v>33</v>
      </c>
      <c r="E280" s="43">
        <v>6</v>
      </c>
    </row>
    <row r="281" spans="2:5">
      <c r="B281" s="43">
        <v>0</v>
      </c>
      <c r="C281" s="43" t="s">
        <v>18</v>
      </c>
      <c r="D281" s="43" t="s">
        <v>33</v>
      </c>
      <c r="E281" s="43">
        <v>0</v>
      </c>
    </row>
    <row r="282" spans="2:5">
      <c r="B282" s="43">
        <v>1</v>
      </c>
      <c r="C282" s="43" t="s">
        <v>18</v>
      </c>
      <c r="D282" s="43" t="s">
        <v>33</v>
      </c>
      <c r="E282" s="43">
        <v>26</v>
      </c>
    </row>
    <row r="283" spans="2:5">
      <c r="B283" s="43">
        <v>1</v>
      </c>
      <c r="C283" s="43" t="s">
        <v>18</v>
      </c>
      <c r="D283" s="43" t="s">
        <v>33</v>
      </c>
      <c r="E283" s="43">
        <v>0</v>
      </c>
    </row>
    <row r="284" spans="2:5">
      <c r="B284" s="43">
        <v>0</v>
      </c>
      <c r="C284" s="43" t="s">
        <v>18</v>
      </c>
      <c r="D284" s="43" t="s">
        <v>33</v>
      </c>
      <c r="E284" s="43">
        <v>0</v>
      </c>
    </row>
    <row r="285" spans="2:5">
      <c r="B285" s="43">
        <v>0</v>
      </c>
      <c r="C285" s="43" t="s">
        <v>18</v>
      </c>
      <c r="D285" s="43" t="s">
        <v>30</v>
      </c>
      <c r="E285" s="43">
        <v>0</v>
      </c>
    </row>
    <row r="286" spans="2:5">
      <c r="B286" s="43">
        <v>0</v>
      </c>
      <c r="C286" s="43" t="s">
        <v>18</v>
      </c>
      <c r="D286" s="43" t="s">
        <v>33</v>
      </c>
      <c r="E286" s="43">
        <v>2</v>
      </c>
    </row>
    <row r="287" spans="2:5">
      <c r="B287" s="43">
        <v>1</v>
      </c>
      <c r="C287" s="43" t="s">
        <v>18</v>
      </c>
      <c r="D287" s="43" t="s">
        <v>33</v>
      </c>
      <c r="E287" s="43">
        <v>3</v>
      </c>
    </row>
    <row r="288" spans="2:5">
      <c r="B288" s="43">
        <v>1</v>
      </c>
      <c r="C288" s="43" t="s">
        <v>18</v>
      </c>
      <c r="D288" s="43" t="s">
        <v>33</v>
      </c>
      <c r="E288" s="43">
        <v>0</v>
      </c>
    </row>
    <row r="289" spans="2:5">
      <c r="B289" s="43">
        <v>0</v>
      </c>
      <c r="C289" s="43" t="s">
        <v>18</v>
      </c>
      <c r="D289" s="43" t="s">
        <v>37</v>
      </c>
      <c r="E289" s="43">
        <v>0</v>
      </c>
    </row>
    <row r="290" spans="2:5">
      <c r="B290" s="43">
        <v>1</v>
      </c>
      <c r="C290" s="43" t="s">
        <v>18</v>
      </c>
      <c r="D290" s="43" t="s">
        <v>33</v>
      </c>
      <c r="E290" s="43">
        <v>0</v>
      </c>
    </row>
    <row r="291" spans="2:5">
      <c r="B291" s="43">
        <v>1</v>
      </c>
      <c r="C291" s="43" t="s">
        <v>18</v>
      </c>
      <c r="D291" s="43" t="s">
        <v>34</v>
      </c>
      <c r="E291" s="43">
        <v>0</v>
      </c>
    </row>
    <row r="292" spans="2:5">
      <c r="B292" s="43">
        <v>1</v>
      </c>
      <c r="C292" s="43" t="s">
        <v>18</v>
      </c>
      <c r="D292" s="43" t="s">
        <v>33</v>
      </c>
      <c r="E292" s="43">
        <v>0</v>
      </c>
    </row>
    <row r="293" spans="2:5">
      <c r="B293" s="43">
        <v>0</v>
      </c>
      <c r="C293" s="43" t="s">
        <v>18</v>
      </c>
      <c r="D293" s="43" t="s">
        <v>40</v>
      </c>
      <c r="E293" s="43">
        <v>0</v>
      </c>
    </row>
    <row r="294" spans="2:5">
      <c r="B294" s="43">
        <v>1</v>
      </c>
      <c r="C294" s="43" t="s">
        <v>18</v>
      </c>
      <c r="D294" s="43" t="s">
        <v>33</v>
      </c>
      <c r="E294" s="43">
        <v>0</v>
      </c>
    </row>
    <row r="295" spans="2:5">
      <c r="B295" s="43">
        <v>1</v>
      </c>
      <c r="C295" s="43" t="s">
        <v>18</v>
      </c>
      <c r="D295" s="43" t="s">
        <v>37</v>
      </c>
      <c r="E295" s="43">
        <v>0</v>
      </c>
    </row>
    <row r="296" spans="2:5">
      <c r="B296" s="43">
        <v>1</v>
      </c>
      <c r="C296" s="43" t="s">
        <v>18</v>
      </c>
      <c r="D296" s="43" t="s">
        <v>33</v>
      </c>
      <c r="E296" s="43">
        <v>0</v>
      </c>
    </row>
    <row r="297" spans="2:5">
      <c r="B297" s="43">
        <v>1</v>
      </c>
      <c r="C297" s="43" t="s">
        <v>18</v>
      </c>
      <c r="D297" s="43" t="s">
        <v>32</v>
      </c>
      <c r="E297" s="43">
        <v>0</v>
      </c>
    </row>
    <row r="298" spans="2:5">
      <c r="B298" s="43">
        <v>1</v>
      </c>
      <c r="C298" s="43" t="s">
        <v>18</v>
      </c>
      <c r="D298" s="43" t="s">
        <v>37</v>
      </c>
      <c r="E298" s="43">
        <v>0</v>
      </c>
    </row>
    <row r="299" spans="2:5">
      <c r="B299" s="43">
        <v>1</v>
      </c>
      <c r="C299" s="43" t="s">
        <v>18</v>
      </c>
      <c r="D299" s="43" t="s">
        <v>33</v>
      </c>
      <c r="E299" s="43">
        <v>0</v>
      </c>
    </row>
    <row r="300" spans="2:5">
      <c r="B300" s="43">
        <v>0</v>
      </c>
      <c r="C300" s="43" t="s">
        <v>18</v>
      </c>
      <c r="D300" s="43" t="s">
        <v>37</v>
      </c>
      <c r="E300" s="43">
        <v>0</v>
      </c>
    </row>
    <row r="301" spans="2:5">
      <c r="B301" s="43">
        <v>1</v>
      </c>
      <c r="C301" s="43" t="s">
        <v>18</v>
      </c>
      <c r="D301" s="43" t="s">
        <v>33</v>
      </c>
      <c r="E301" s="43">
        <v>0</v>
      </c>
    </row>
    <row r="302" spans="2:5" ht="13" customHeight="1">
      <c r="B302" s="43">
        <v>1</v>
      </c>
      <c r="C302" s="43" t="s">
        <v>18</v>
      </c>
      <c r="D302" s="43" t="s">
        <v>33</v>
      </c>
      <c r="E302" s="43">
        <v>0</v>
      </c>
    </row>
    <row r="303" spans="2:5">
      <c r="B303" s="43">
        <v>1</v>
      </c>
      <c r="C303" s="43" t="s">
        <v>18</v>
      </c>
      <c r="D303" s="43" t="s">
        <v>42</v>
      </c>
      <c r="E303" s="43">
        <v>0</v>
      </c>
    </row>
    <row r="304" spans="2:5" ht="58.5" customHeight="1">
      <c r="B304" s="43">
        <v>1</v>
      </c>
      <c r="C304" s="43" t="s">
        <v>18</v>
      </c>
      <c r="D304" s="43" t="s">
        <v>33</v>
      </c>
      <c r="E304" s="43">
        <v>0</v>
      </c>
    </row>
    <row r="305" spans="2:5">
      <c r="B305" s="43">
        <v>1</v>
      </c>
      <c r="C305" s="43" t="s">
        <v>18</v>
      </c>
      <c r="D305" s="43" t="s">
        <v>37</v>
      </c>
      <c r="E305" s="43">
        <v>0</v>
      </c>
    </row>
    <row r="306" spans="2:5">
      <c r="B306" s="43">
        <v>1</v>
      </c>
      <c r="C306" s="43" t="s">
        <v>18</v>
      </c>
      <c r="D306" s="43" t="s">
        <v>41</v>
      </c>
      <c r="E306" s="43">
        <v>0</v>
      </c>
    </row>
    <row r="307" spans="2:5">
      <c r="B307" s="43">
        <v>1</v>
      </c>
      <c r="C307" s="43" t="s">
        <v>18</v>
      </c>
      <c r="D307" s="43" t="s">
        <v>40</v>
      </c>
      <c r="E307" s="43">
        <v>0</v>
      </c>
    </row>
    <row r="308" spans="2:5">
      <c r="B308" s="43">
        <v>0</v>
      </c>
      <c r="C308" s="43" t="s">
        <v>18</v>
      </c>
      <c r="D308" s="43" t="s">
        <v>34</v>
      </c>
      <c r="E308" s="43">
        <v>0</v>
      </c>
    </row>
    <row r="309" spans="2:5">
      <c r="B309" s="43">
        <v>1</v>
      </c>
      <c r="C309" s="43" t="s">
        <v>18</v>
      </c>
      <c r="D309" s="43" t="s">
        <v>33</v>
      </c>
      <c r="E309" s="43">
        <v>0</v>
      </c>
    </row>
    <row r="310" spans="2:5">
      <c r="B310" s="43">
        <v>0</v>
      </c>
      <c r="C310" s="43" t="s">
        <v>18</v>
      </c>
      <c r="D310" s="43" t="s">
        <v>40</v>
      </c>
      <c r="E310" s="43">
        <v>0</v>
      </c>
    </row>
    <row r="311" spans="2:5">
      <c r="B311" s="43">
        <v>0</v>
      </c>
      <c r="C311" s="43" t="s">
        <v>18</v>
      </c>
      <c r="D311" s="43" t="s">
        <v>32</v>
      </c>
      <c r="E311" s="43">
        <v>0</v>
      </c>
    </row>
    <row r="312" spans="2:5">
      <c r="B312" s="43">
        <v>0</v>
      </c>
      <c r="C312" s="43" t="s">
        <v>18</v>
      </c>
      <c r="D312" s="43" t="s">
        <v>30</v>
      </c>
      <c r="E312" s="43">
        <v>0</v>
      </c>
    </row>
    <row r="313" spans="2:5">
      <c r="B313" s="43">
        <v>1</v>
      </c>
      <c r="C313" s="43" t="s">
        <v>18</v>
      </c>
      <c r="D313" s="43" t="s">
        <v>40</v>
      </c>
      <c r="E313" s="43">
        <v>0</v>
      </c>
    </row>
    <row r="314" spans="2:5">
      <c r="B314" s="43">
        <v>1</v>
      </c>
      <c r="C314" s="43" t="s">
        <v>18</v>
      </c>
      <c r="D314" s="43" t="s">
        <v>34</v>
      </c>
      <c r="E314" s="43">
        <v>0</v>
      </c>
    </row>
    <row r="315" spans="2:5">
      <c r="B315" s="43">
        <v>0</v>
      </c>
      <c r="C315" s="43" t="s">
        <v>18</v>
      </c>
      <c r="D315" s="43" t="s">
        <v>34</v>
      </c>
      <c r="E315" s="43">
        <v>0</v>
      </c>
    </row>
    <row r="316" spans="2:5">
      <c r="B316" s="43">
        <v>1</v>
      </c>
      <c r="C316" s="43" t="s">
        <v>18</v>
      </c>
      <c r="D316" s="43" t="s">
        <v>42</v>
      </c>
      <c r="E316" s="43">
        <v>0</v>
      </c>
    </row>
    <row r="317" spans="2:5">
      <c r="B317" s="43">
        <v>1</v>
      </c>
      <c r="C317" s="43" t="s">
        <v>19</v>
      </c>
      <c r="D317" s="43" t="s">
        <v>49</v>
      </c>
      <c r="E317" s="43">
        <v>5</v>
      </c>
    </row>
    <row r="318" spans="2:5">
      <c r="B318" s="43">
        <v>1</v>
      </c>
      <c r="C318" s="43" t="s">
        <v>19</v>
      </c>
      <c r="D318" s="43" t="s">
        <v>33</v>
      </c>
      <c r="E318" s="43">
        <v>3</v>
      </c>
    </row>
    <row r="319" spans="2:5">
      <c r="B319" s="43">
        <v>0</v>
      </c>
      <c r="C319" s="43" t="s">
        <v>19</v>
      </c>
      <c r="D319" s="43" t="s">
        <v>31</v>
      </c>
      <c r="E319" s="43">
        <v>2</v>
      </c>
    </row>
    <row r="320" spans="2:5">
      <c r="B320" s="43">
        <v>1</v>
      </c>
      <c r="C320" s="43" t="s">
        <v>19</v>
      </c>
      <c r="D320" s="43" t="s">
        <v>33</v>
      </c>
      <c r="E320" s="43">
        <v>9</v>
      </c>
    </row>
    <row r="321" spans="2:5">
      <c r="B321" s="43">
        <v>1</v>
      </c>
      <c r="C321" s="43" t="s">
        <v>19</v>
      </c>
      <c r="D321" s="43" t="s">
        <v>42</v>
      </c>
      <c r="E321" s="43">
        <v>1</v>
      </c>
    </row>
    <row r="322" spans="2:5">
      <c r="B322" s="43">
        <v>1</v>
      </c>
      <c r="C322" s="43" t="s">
        <v>19</v>
      </c>
      <c r="D322" s="43" t="s">
        <v>33</v>
      </c>
      <c r="E322" s="43">
        <v>3</v>
      </c>
    </row>
    <row r="323" spans="2:5">
      <c r="B323" s="43">
        <v>0</v>
      </c>
      <c r="C323" s="43" t="s">
        <v>19</v>
      </c>
      <c r="D323" s="43" t="s">
        <v>33</v>
      </c>
      <c r="E323" s="43">
        <v>2</v>
      </c>
    </row>
    <row r="324" spans="2:5">
      <c r="B324" s="43">
        <v>1</v>
      </c>
      <c r="C324" s="43" t="s">
        <v>19</v>
      </c>
      <c r="D324" s="43" t="s">
        <v>42</v>
      </c>
      <c r="E324" s="43">
        <v>4</v>
      </c>
    </row>
    <row r="325" spans="2:5">
      <c r="B325" s="43">
        <v>1</v>
      </c>
      <c r="C325" s="43" t="s">
        <v>19</v>
      </c>
      <c r="D325" s="43" t="s">
        <v>33</v>
      </c>
      <c r="E325" s="43">
        <v>0</v>
      </c>
    </row>
    <row r="326" spans="2:5">
      <c r="B326" s="43">
        <v>1</v>
      </c>
      <c r="C326" s="43" t="s">
        <v>19</v>
      </c>
      <c r="D326" s="43" t="s">
        <v>31</v>
      </c>
      <c r="E326" s="43">
        <v>1</v>
      </c>
    </row>
    <row r="327" spans="2:5">
      <c r="B327" s="43">
        <v>1</v>
      </c>
      <c r="C327" s="43" t="s">
        <v>19</v>
      </c>
      <c r="D327" s="43" t="s">
        <v>37</v>
      </c>
      <c r="E327" s="43">
        <v>6</v>
      </c>
    </row>
    <row r="328" spans="2:5">
      <c r="B328" s="43">
        <v>1</v>
      </c>
      <c r="C328" s="43" t="s">
        <v>19</v>
      </c>
      <c r="D328" s="43" t="s">
        <v>42</v>
      </c>
      <c r="E328" s="43">
        <v>1</v>
      </c>
    </row>
    <row r="329" spans="2:5">
      <c r="B329" s="43">
        <v>1</v>
      </c>
      <c r="C329" s="43" t="s">
        <v>19</v>
      </c>
      <c r="D329" s="43" t="s">
        <v>39</v>
      </c>
      <c r="E329" s="43">
        <v>3</v>
      </c>
    </row>
    <row r="330" spans="2:5">
      <c r="B330" s="43">
        <v>1</v>
      </c>
      <c r="C330" s="43" t="s">
        <v>19</v>
      </c>
      <c r="D330" s="43" t="s">
        <v>33</v>
      </c>
      <c r="E330" s="43">
        <v>0</v>
      </c>
    </row>
    <row r="331" spans="2:5">
      <c r="B331" s="43">
        <v>0</v>
      </c>
      <c r="C331" s="43" t="s">
        <v>19</v>
      </c>
      <c r="D331" s="43" t="s">
        <v>32</v>
      </c>
      <c r="E331" s="43">
        <v>0</v>
      </c>
    </row>
    <row r="332" spans="2:5">
      <c r="B332" s="43">
        <v>1</v>
      </c>
      <c r="C332" s="43" t="s">
        <v>19</v>
      </c>
      <c r="D332" s="43" t="s">
        <v>33</v>
      </c>
      <c r="E332" s="43">
        <v>0</v>
      </c>
    </row>
    <row r="333" spans="2:5">
      <c r="B333" s="43">
        <v>0</v>
      </c>
      <c r="C333" s="43" t="s">
        <v>19</v>
      </c>
      <c r="D333" s="43" t="s">
        <v>40</v>
      </c>
      <c r="E333" s="43">
        <v>0</v>
      </c>
    </row>
    <row r="334" spans="2:5">
      <c r="B334" s="43">
        <v>1</v>
      </c>
      <c r="C334" s="43" t="s">
        <v>19</v>
      </c>
      <c r="D334" s="43" t="s">
        <v>33</v>
      </c>
      <c r="E334" s="43">
        <v>0</v>
      </c>
    </row>
    <row r="335" spans="2:5">
      <c r="B335" s="43">
        <v>1</v>
      </c>
      <c r="C335" s="43" t="s">
        <v>19</v>
      </c>
      <c r="D335" s="43" t="s">
        <v>33</v>
      </c>
      <c r="E335" s="43">
        <v>1</v>
      </c>
    </row>
    <row r="336" spans="2:5">
      <c r="B336" s="43">
        <v>0</v>
      </c>
      <c r="C336" s="43" t="s">
        <v>19</v>
      </c>
      <c r="D336" s="43" t="s">
        <v>40</v>
      </c>
      <c r="E336" s="43">
        <v>0</v>
      </c>
    </row>
    <row r="337" spans="2:5">
      <c r="B337" s="43">
        <v>1</v>
      </c>
      <c r="C337" s="43" t="s">
        <v>19</v>
      </c>
      <c r="D337" s="43" t="s">
        <v>33</v>
      </c>
      <c r="E337" s="43">
        <v>0</v>
      </c>
    </row>
    <row r="338" spans="2:5">
      <c r="B338" s="43">
        <v>1</v>
      </c>
      <c r="C338" s="43" t="s">
        <v>19</v>
      </c>
      <c r="D338" s="43" t="s">
        <v>33</v>
      </c>
      <c r="E338" s="43">
        <v>0</v>
      </c>
    </row>
    <row r="339" spans="2:5">
      <c r="B339" s="43">
        <v>1</v>
      </c>
      <c r="C339" s="43" t="s">
        <v>19</v>
      </c>
      <c r="D339" s="43" t="s">
        <v>37</v>
      </c>
      <c r="E339" s="43">
        <v>0</v>
      </c>
    </row>
    <row r="340" spans="2:5">
      <c r="B340" s="43">
        <v>1</v>
      </c>
      <c r="C340" s="43" t="s">
        <v>19</v>
      </c>
      <c r="D340" s="43" t="s">
        <v>33</v>
      </c>
      <c r="E340" s="43">
        <v>1</v>
      </c>
    </row>
    <row r="341" spans="2:5">
      <c r="B341" s="43">
        <v>0</v>
      </c>
      <c r="C341" s="43" t="s">
        <v>19</v>
      </c>
      <c r="D341" s="43" t="s">
        <v>33</v>
      </c>
      <c r="E341" s="43">
        <v>0</v>
      </c>
    </row>
    <row r="342" spans="2:5">
      <c r="B342" s="43">
        <v>0</v>
      </c>
      <c r="C342" s="43" t="s">
        <v>19</v>
      </c>
      <c r="D342" s="43" t="s">
        <v>32</v>
      </c>
      <c r="E342" s="43">
        <v>6</v>
      </c>
    </row>
    <row r="343" spans="2:5">
      <c r="B343" s="43">
        <v>1</v>
      </c>
      <c r="C343" s="43" t="s">
        <v>19</v>
      </c>
      <c r="D343" s="43" t="s">
        <v>32</v>
      </c>
      <c r="E343" s="43">
        <v>3</v>
      </c>
    </row>
    <row r="344" spans="2:5">
      <c r="B344" s="43">
        <v>1</v>
      </c>
      <c r="C344" s="43" t="s">
        <v>19</v>
      </c>
      <c r="D344" s="43" t="s">
        <v>33</v>
      </c>
      <c r="E344" s="43">
        <v>0</v>
      </c>
    </row>
    <row r="345" spans="2:5">
      <c r="B345" s="43">
        <v>0</v>
      </c>
      <c r="C345" s="43" t="s">
        <v>19</v>
      </c>
      <c r="D345" s="43" t="s">
        <v>41</v>
      </c>
      <c r="E345" s="43">
        <v>1</v>
      </c>
    </row>
    <row r="346" spans="2:5">
      <c r="B346" s="43">
        <v>1</v>
      </c>
      <c r="C346" s="43" t="s">
        <v>19</v>
      </c>
      <c r="D346" s="43" t="s">
        <v>33</v>
      </c>
      <c r="E346" s="43">
        <v>0</v>
      </c>
    </row>
    <row r="347" spans="2:5">
      <c r="B347" s="43">
        <v>1</v>
      </c>
      <c r="C347" s="43" t="s">
        <v>19</v>
      </c>
      <c r="D347" s="43" t="s">
        <v>42</v>
      </c>
      <c r="E347" s="43">
        <v>0</v>
      </c>
    </row>
    <row r="348" spans="2:5">
      <c r="B348" s="43">
        <v>1</v>
      </c>
      <c r="C348" s="43" t="s">
        <v>19</v>
      </c>
      <c r="D348" s="43" t="s">
        <v>32</v>
      </c>
      <c r="E348" s="43">
        <v>0</v>
      </c>
    </row>
    <row r="349" spans="2:5">
      <c r="B349" s="43">
        <v>1</v>
      </c>
      <c r="C349" s="43" t="s">
        <v>19</v>
      </c>
      <c r="D349" s="43" t="s">
        <v>32</v>
      </c>
      <c r="E349" s="43">
        <v>1</v>
      </c>
    </row>
    <row r="350" spans="2:5">
      <c r="B350" s="43">
        <v>1</v>
      </c>
      <c r="C350" s="43" t="s">
        <v>19</v>
      </c>
      <c r="D350" s="43" t="s">
        <v>31</v>
      </c>
      <c r="E350" s="43">
        <v>0</v>
      </c>
    </row>
    <row r="351" spans="2:5">
      <c r="B351" s="43">
        <v>0</v>
      </c>
      <c r="C351" s="43" t="s">
        <v>19</v>
      </c>
      <c r="D351" s="43" t="s">
        <v>32</v>
      </c>
      <c r="E351" s="43">
        <v>0</v>
      </c>
    </row>
    <row r="352" spans="2:5">
      <c r="B352" s="43">
        <v>1</v>
      </c>
      <c r="C352" s="43" t="s">
        <v>19</v>
      </c>
      <c r="D352" s="43" t="s">
        <v>33</v>
      </c>
      <c r="E352" s="43">
        <v>0</v>
      </c>
    </row>
    <row r="353" spans="2:5">
      <c r="B353" s="43">
        <v>1</v>
      </c>
      <c r="C353" s="43" t="s">
        <v>19</v>
      </c>
      <c r="D353" s="43" t="s">
        <v>40</v>
      </c>
      <c r="E353" s="43">
        <v>0</v>
      </c>
    </row>
    <row r="354" spans="2:5">
      <c r="B354" s="43">
        <v>1</v>
      </c>
      <c r="C354" s="43" t="s">
        <v>19</v>
      </c>
      <c r="D354" s="43" t="s">
        <v>33</v>
      </c>
      <c r="E354" s="43">
        <v>0</v>
      </c>
    </row>
    <row r="355" spans="2:5">
      <c r="B355" s="43">
        <v>1</v>
      </c>
      <c r="C355" s="43" t="s">
        <v>19</v>
      </c>
      <c r="D355" s="43" t="s">
        <v>37</v>
      </c>
      <c r="E355" s="43">
        <v>0</v>
      </c>
    </row>
    <row r="356" spans="2:5">
      <c r="B356" s="43">
        <v>1</v>
      </c>
      <c r="C356" s="43" t="s">
        <v>19</v>
      </c>
      <c r="D356" s="43" t="s">
        <v>33</v>
      </c>
      <c r="E356" s="43">
        <v>0</v>
      </c>
    </row>
    <row r="357" spans="2:5">
      <c r="B357" s="43">
        <v>1</v>
      </c>
      <c r="C357" s="43" t="s">
        <v>19</v>
      </c>
      <c r="D357" s="43" t="s">
        <v>42</v>
      </c>
      <c r="E357" s="43">
        <v>0</v>
      </c>
    </row>
    <row r="358" spans="2:5">
      <c r="B358" s="43">
        <v>0</v>
      </c>
      <c r="C358" s="43" t="s">
        <v>19</v>
      </c>
      <c r="D358" s="43" t="s">
        <v>33</v>
      </c>
      <c r="E358" s="43">
        <v>0</v>
      </c>
    </row>
    <row r="359" spans="2:5">
      <c r="B359" s="43">
        <v>1</v>
      </c>
      <c r="C359" s="43" t="s">
        <v>19</v>
      </c>
      <c r="D359" s="43" t="s">
        <v>37</v>
      </c>
      <c r="E359" s="43">
        <v>1</v>
      </c>
    </row>
    <row r="360" spans="2:5">
      <c r="B360" s="43">
        <v>1</v>
      </c>
      <c r="C360" s="43" t="s">
        <v>19</v>
      </c>
      <c r="D360" s="43" t="s">
        <v>33</v>
      </c>
      <c r="E360" s="43">
        <v>0</v>
      </c>
    </row>
    <row r="361" spans="2:5">
      <c r="B361" s="43">
        <v>1</v>
      </c>
      <c r="C361" s="43" t="s">
        <v>19</v>
      </c>
      <c r="D361" s="43" t="s">
        <v>32</v>
      </c>
      <c r="E361" s="43">
        <v>0</v>
      </c>
    </row>
    <row r="362" spans="2:5">
      <c r="B362" s="43">
        <v>0</v>
      </c>
      <c r="C362" s="43" t="s">
        <v>19</v>
      </c>
      <c r="D362" s="43" t="s">
        <v>42</v>
      </c>
      <c r="E362" s="43">
        <v>1</v>
      </c>
    </row>
    <row r="363" spans="2:5">
      <c r="B363" s="43">
        <v>0</v>
      </c>
      <c r="C363" s="43" t="s">
        <v>19</v>
      </c>
      <c r="D363" s="43"/>
      <c r="E363" s="43">
        <v>0</v>
      </c>
    </row>
    <row r="364" spans="2:5">
      <c r="B364" s="43">
        <v>1</v>
      </c>
      <c r="C364" s="43" t="s">
        <v>19</v>
      </c>
      <c r="D364" s="43" t="s">
        <v>39</v>
      </c>
      <c r="E364" s="43">
        <v>0</v>
      </c>
    </row>
    <row r="365" spans="2:5">
      <c r="B365" s="43">
        <v>1</v>
      </c>
      <c r="C365" s="43" t="s">
        <v>19</v>
      </c>
      <c r="D365" s="43" t="s">
        <v>32</v>
      </c>
      <c r="E365" s="43">
        <v>0</v>
      </c>
    </row>
    <row r="366" spans="2:5">
      <c r="B366" s="43">
        <v>1</v>
      </c>
      <c r="C366" s="43" t="s">
        <v>19</v>
      </c>
      <c r="D366" s="43" t="s">
        <v>33</v>
      </c>
      <c r="E366" s="43">
        <v>1</v>
      </c>
    </row>
    <row r="367" spans="2:5">
      <c r="B367" s="43">
        <v>1</v>
      </c>
      <c r="C367" s="43" t="s">
        <v>19</v>
      </c>
      <c r="D367" s="43" t="s">
        <v>42</v>
      </c>
      <c r="E367" s="43">
        <v>0</v>
      </c>
    </row>
    <row r="368" spans="2:5">
      <c r="B368" s="43">
        <v>1</v>
      </c>
      <c r="C368" s="43" t="s">
        <v>19</v>
      </c>
      <c r="D368" s="43" t="s">
        <v>39</v>
      </c>
      <c r="E368" s="43">
        <v>0</v>
      </c>
    </row>
    <row r="369" spans="2:5">
      <c r="B369" s="43">
        <v>1</v>
      </c>
      <c r="C369" s="43" t="s">
        <v>19</v>
      </c>
      <c r="D369" s="43" t="s">
        <v>33</v>
      </c>
      <c r="E369" s="43">
        <v>0</v>
      </c>
    </row>
    <row r="370" spans="2:5">
      <c r="B370" s="43">
        <v>1</v>
      </c>
      <c r="C370" s="43" t="s">
        <v>19</v>
      </c>
      <c r="D370" s="43" t="s">
        <v>32</v>
      </c>
      <c r="E370" s="43">
        <v>0</v>
      </c>
    </row>
    <row r="371" spans="2:5">
      <c r="B371" s="43">
        <v>1</v>
      </c>
      <c r="C371" s="43" t="s">
        <v>19</v>
      </c>
      <c r="D371" s="43" t="s">
        <v>42</v>
      </c>
      <c r="E371" s="43">
        <v>0</v>
      </c>
    </row>
    <row r="372" spans="2:5">
      <c r="B372" s="43">
        <v>0</v>
      </c>
      <c r="C372" s="43" t="s">
        <v>19</v>
      </c>
      <c r="D372" s="43"/>
      <c r="E372" s="43">
        <v>1</v>
      </c>
    </row>
    <row r="373" spans="2:5">
      <c r="B373" s="43">
        <v>0</v>
      </c>
      <c r="C373" s="43" t="s">
        <v>19</v>
      </c>
      <c r="D373" s="43" t="s">
        <v>39</v>
      </c>
      <c r="E373" s="43">
        <v>0</v>
      </c>
    </row>
    <row r="374" spans="2:5">
      <c r="B374" s="43">
        <v>1</v>
      </c>
      <c r="C374" s="43" t="s">
        <v>19</v>
      </c>
      <c r="D374" s="43" t="s">
        <v>41</v>
      </c>
      <c r="E374" s="43">
        <v>0</v>
      </c>
    </row>
    <row r="375" spans="2:5">
      <c r="B375" s="43">
        <v>1</v>
      </c>
      <c r="C375" s="43" t="s">
        <v>19</v>
      </c>
      <c r="D375" s="43" t="s">
        <v>32</v>
      </c>
      <c r="E375" s="43">
        <v>0</v>
      </c>
    </row>
    <row r="376" spans="2:5">
      <c r="B376" s="43">
        <v>1</v>
      </c>
      <c r="C376" s="43" t="s">
        <v>19</v>
      </c>
      <c r="D376" s="43" t="s">
        <v>31</v>
      </c>
      <c r="E376" s="43">
        <v>0</v>
      </c>
    </row>
    <row r="377" spans="2:5">
      <c r="B377" s="43">
        <v>1</v>
      </c>
      <c r="C377" s="43" t="s">
        <v>19</v>
      </c>
      <c r="D377" s="43" t="s">
        <v>39</v>
      </c>
      <c r="E377" s="43">
        <v>0</v>
      </c>
    </row>
    <row r="378" spans="2:5">
      <c r="B378" s="43">
        <v>1</v>
      </c>
      <c r="C378" s="43" t="s">
        <v>19</v>
      </c>
      <c r="D378" s="43" t="s">
        <v>41</v>
      </c>
      <c r="E378" s="43">
        <v>0</v>
      </c>
    </row>
    <row r="379" spans="2:5">
      <c r="B379" s="43">
        <v>1</v>
      </c>
      <c r="C379" s="43" t="s">
        <v>19</v>
      </c>
      <c r="D379" s="43" t="s">
        <v>39</v>
      </c>
      <c r="E379" s="43">
        <v>0</v>
      </c>
    </row>
    <row r="380" spans="2:5">
      <c r="B380" s="43">
        <v>0</v>
      </c>
      <c r="C380" s="43" t="s">
        <v>19</v>
      </c>
      <c r="D380" s="43" t="s">
        <v>45</v>
      </c>
      <c r="E380" s="43">
        <v>0</v>
      </c>
    </row>
    <row r="381" spans="2:5">
      <c r="B381" s="43">
        <v>0</v>
      </c>
      <c r="C381" s="43" t="s">
        <v>19</v>
      </c>
      <c r="D381" s="43" t="s">
        <v>33</v>
      </c>
      <c r="E381" s="43">
        <v>0</v>
      </c>
    </row>
    <row r="382" spans="2:5">
      <c r="B382" s="43">
        <v>0</v>
      </c>
      <c r="C382" s="43" t="s">
        <v>19</v>
      </c>
      <c r="D382" s="43" t="s">
        <v>33</v>
      </c>
      <c r="E382" s="43">
        <v>0</v>
      </c>
    </row>
    <row r="383" spans="2:5">
      <c r="B383" s="43">
        <v>0</v>
      </c>
      <c r="C383" s="43" t="s">
        <v>19</v>
      </c>
      <c r="D383" s="43" t="s">
        <v>33</v>
      </c>
      <c r="E383" s="43">
        <v>0</v>
      </c>
    </row>
    <row r="384" spans="2:5">
      <c r="B384" s="43">
        <v>1</v>
      </c>
      <c r="C384" s="43" t="s">
        <v>19</v>
      </c>
      <c r="D384" s="43" t="s">
        <v>36</v>
      </c>
      <c r="E384" s="43">
        <v>0</v>
      </c>
    </row>
    <row r="385" spans="2:5">
      <c r="B385" s="43">
        <v>0</v>
      </c>
      <c r="C385" s="43" t="s">
        <v>19</v>
      </c>
      <c r="D385" s="42" t="s">
        <v>32</v>
      </c>
      <c r="E385" s="43">
        <v>0</v>
      </c>
    </row>
    <row r="386" spans="2:5">
      <c r="B386" s="43">
        <v>1</v>
      </c>
      <c r="C386" s="43" t="s">
        <v>19</v>
      </c>
      <c r="D386" s="42" t="s">
        <v>42</v>
      </c>
      <c r="E386" s="43">
        <v>0</v>
      </c>
    </row>
    <row r="387" spans="2:5">
      <c r="B387" s="43">
        <v>1</v>
      </c>
      <c r="C387" s="43" t="s">
        <v>19</v>
      </c>
      <c r="D387" s="42" t="s">
        <v>37</v>
      </c>
      <c r="E387" s="43">
        <v>0</v>
      </c>
    </row>
    <row r="388" spans="2:5">
      <c r="B388" s="43">
        <v>1</v>
      </c>
      <c r="C388" s="43" t="s">
        <v>19</v>
      </c>
      <c r="D388" s="43" t="s">
        <v>33</v>
      </c>
      <c r="E388" s="43">
        <v>0</v>
      </c>
    </row>
    <row r="389" spans="2:5">
      <c r="B389" s="43">
        <v>1</v>
      </c>
      <c r="C389" s="43" t="s">
        <v>19</v>
      </c>
      <c r="D389" s="43" t="s">
        <v>42</v>
      </c>
      <c r="E389" s="43">
        <v>0</v>
      </c>
    </row>
    <row r="390" spans="2:5">
      <c r="B390" s="43">
        <v>1</v>
      </c>
      <c r="C390" s="43" t="s">
        <v>19</v>
      </c>
      <c r="D390" s="43" t="s">
        <v>33</v>
      </c>
      <c r="E390" s="43">
        <v>0</v>
      </c>
    </row>
    <row r="391" spans="2:5">
      <c r="B391" s="43">
        <v>1</v>
      </c>
      <c r="C391" s="43" t="s">
        <v>19</v>
      </c>
      <c r="D391" s="43" t="s">
        <v>32</v>
      </c>
      <c r="E391" s="43">
        <v>0</v>
      </c>
    </row>
    <row r="392" spans="2:5">
      <c r="B392" s="43">
        <v>0</v>
      </c>
      <c r="C392" s="43" t="s">
        <v>19</v>
      </c>
      <c r="D392" s="43" t="s">
        <v>42</v>
      </c>
      <c r="E392" s="43">
        <v>0</v>
      </c>
    </row>
    <row r="393" spans="2:5">
      <c r="B393" s="43">
        <v>1</v>
      </c>
      <c r="C393" s="43" t="s">
        <v>19</v>
      </c>
      <c r="D393" s="43" t="s">
        <v>42</v>
      </c>
      <c r="E393" s="43">
        <v>0</v>
      </c>
    </row>
    <row r="394" spans="2:5">
      <c r="B394" s="43">
        <v>1</v>
      </c>
      <c r="C394" s="43" t="s">
        <v>19</v>
      </c>
      <c r="D394" s="43" t="s">
        <v>33</v>
      </c>
      <c r="E394" s="43">
        <v>0</v>
      </c>
    </row>
    <row r="395" spans="2:5">
      <c r="B395" s="43">
        <v>1</v>
      </c>
      <c r="C395" s="43" t="s">
        <v>19</v>
      </c>
      <c r="D395" s="43" t="s">
        <v>42</v>
      </c>
      <c r="E395" s="43">
        <v>0</v>
      </c>
    </row>
    <row r="396" spans="2:5">
      <c r="B396" s="43">
        <v>1</v>
      </c>
      <c r="C396" s="43" t="s">
        <v>19</v>
      </c>
      <c r="D396" s="43" t="s">
        <v>42</v>
      </c>
      <c r="E396" s="43">
        <v>0</v>
      </c>
    </row>
    <row r="397" spans="2:5">
      <c r="B397" s="43">
        <v>1</v>
      </c>
      <c r="C397" s="43" t="s">
        <v>19</v>
      </c>
      <c r="D397" s="43" t="s">
        <v>42</v>
      </c>
      <c r="E397" s="43">
        <v>0</v>
      </c>
    </row>
    <row r="398" spans="2:5">
      <c r="B398" s="43">
        <v>0</v>
      </c>
      <c r="C398" s="43" t="s">
        <v>19</v>
      </c>
      <c r="D398" s="43" t="s">
        <v>31</v>
      </c>
      <c r="E398" s="43">
        <v>0</v>
      </c>
    </row>
    <row r="399" spans="2:5">
      <c r="B399" s="43">
        <v>1</v>
      </c>
      <c r="C399" s="43" t="s">
        <v>19</v>
      </c>
      <c r="D399" s="43" t="s">
        <v>42</v>
      </c>
      <c r="E399" s="43">
        <v>0</v>
      </c>
    </row>
    <row r="400" spans="2:5">
      <c r="B400" s="43">
        <v>1</v>
      </c>
      <c r="C400" s="43" t="s">
        <v>19</v>
      </c>
      <c r="D400" s="43"/>
      <c r="E400" s="43">
        <v>0</v>
      </c>
    </row>
    <row r="401" spans="2:5">
      <c r="B401" s="43">
        <v>1</v>
      </c>
      <c r="C401" s="43" t="s">
        <v>19</v>
      </c>
      <c r="D401" s="43" t="s">
        <v>50</v>
      </c>
      <c r="E401" s="43">
        <v>0</v>
      </c>
    </row>
    <row r="402" spans="2:5">
      <c r="B402" s="43">
        <v>1</v>
      </c>
      <c r="C402" s="43" t="s">
        <v>19</v>
      </c>
      <c r="D402" s="43" t="s">
        <v>33</v>
      </c>
      <c r="E402" s="43">
        <v>0</v>
      </c>
    </row>
    <row r="403" spans="2:5">
      <c r="B403" s="43">
        <v>0</v>
      </c>
      <c r="C403" s="43" t="s">
        <v>19</v>
      </c>
      <c r="D403" s="43" t="s">
        <v>33</v>
      </c>
      <c r="E403" s="43">
        <v>0</v>
      </c>
    </row>
    <row r="404" spans="2:5">
      <c r="B404" s="43">
        <v>1</v>
      </c>
      <c r="C404" s="43" t="s">
        <v>19</v>
      </c>
      <c r="D404" s="43" t="s">
        <v>40</v>
      </c>
      <c r="E404" s="43">
        <v>0</v>
      </c>
    </row>
    <row r="405" spans="2:5">
      <c r="B405" s="43">
        <v>1</v>
      </c>
      <c r="C405" s="43" t="s">
        <v>20</v>
      </c>
      <c r="D405" s="43" t="s">
        <v>33</v>
      </c>
      <c r="E405" s="43">
        <v>1</v>
      </c>
    </row>
    <row r="406" spans="2:5">
      <c r="B406" s="43">
        <v>0</v>
      </c>
      <c r="C406" s="43" t="s">
        <v>20</v>
      </c>
      <c r="D406" s="43" t="s">
        <v>33</v>
      </c>
      <c r="E406" s="43">
        <v>5</v>
      </c>
    </row>
    <row r="407" spans="2:5">
      <c r="B407" s="43">
        <v>0</v>
      </c>
      <c r="C407" s="43" t="s">
        <v>20</v>
      </c>
      <c r="D407" s="43" t="s">
        <v>33</v>
      </c>
      <c r="E407" s="43">
        <v>4</v>
      </c>
    </row>
    <row r="408" spans="2:5">
      <c r="B408" s="43">
        <v>1</v>
      </c>
      <c r="C408" s="43" t="s">
        <v>20</v>
      </c>
      <c r="D408" s="43" t="s">
        <v>38</v>
      </c>
      <c r="E408" s="43">
        <v>4</v>
      </c>
    </row>
    <row r="409" spans="2:5">
      <c r="B409" s="43">
        <v>1</v>
      </c>
      <c r="C409" s="43" t="s">
        <v>20</v>
      </c>
      <c r="D409" s="43" t="s">
        <v>33</v>
      </c>
      <c r="E409" s="43">
        <v>2</v>
      </c>
    </row>
    <row r="410" spans="2:5">
      <c r="B410" s="43">
        <v>1</v>
      </c>
      <c r="C410" s="43" t="s">
        <v>20</v>
      </c>
      <c r="D410" s="43" t="s">
        <v>33</v>
      </c>
      <c r="E410" s="43">
        <v>0</v>
      </c>
    </row>
    <row r="411" spans="2:5">
      <c r="B411" s="43">
        <v>1</v>
      </c>
      <c r="C411" s="43" t="s">
        <v>20</v>
      </c>
      <c r="D411" s="43"/>
      <c r="E411" s="43">
        <v>6</v>
      </c>
    </row>
    <row r="412" spans="2:5">
      <c r="B412" s="43">
        <v>0</v>
      </c>
      <c r="C412" s="43" t="s">
        <v>20</v>
      </c>
      <c r="D412" s="43" t="s">
        <v>39</v>
      </c>
      <c r="E412" s="43">
        <v>6</v>
      </c>
    </row>
    <row r="413" spans="2:5">
      <c r="B413" s="43">
        <v>0</v>
      </c>
      <c r="C413" s="43" t="s">
        <v>20</v>
      </c>
      <c r="D413" s="43" t="s">
        <v>42</v>
      </c>
      <c r="E413" s="43">
        <v>6</v>
      </c>
    </row>
    <row r="414" spans="2:5">
      <c r="B414" s="43">
        <v>0</v>
      </c>
      <c r="C414" s="43" t="s">
        <v>20</v>
      </c>
      <c r="D414" s="43" t="s">
        <v>40</v>
      </c>
      <c r="E414" s="43">
        <v>5</v>
      </c>
    </row>
    <row r="415" spans="2:5">
      <c r="B415" s="43">
        <v>1</v>
      </c>
      <c r="C415" s="43" t="s">
        <v>20</v>
      </c>
      <c r="D415" s="43"/>
      <c r="E415" s="43">
        <v>3</v>
      </c>
    </row>
    <row r="416" spans="2:5">
      <c r="B416" s="43">
        <v>1</v>
      </c>
      <c r="C416" s="43" t="s">
        <v>20</v>
      </c>
      <c r="D416" s="43" t="s">
        <v>33</v>
      </c>
      <c r="E416" s="43">
        <v>1</v>
      </c>
    </row>
    <row r="417" spans="2:5">
      <c r="B417" s="43">
        <v>1</v>
      </c>
      <c r="C417" s="43" t="s">
        <v>20</v>
      </c>
      <c r="D417" s="43" t="s">
        <v>42</v>
      </c>
      <c r="E417" s="43">
        <v>1</v>
      </c>
    </row>
    <row r="418" spans="2:5">
      <c r="B418" s="43">
        <v>1</v>
      </c>
      <c r="C418" s="43" t="s">
        <v>20</v>
      </c>
      <c r="D418" s="43" t="s">
        <v>37</v>
      </c>
      <c r="E418" s="43">
        <v>2</v>
      </c>
    </row>
    <row r="419" spans="2:5">
      <c r="B419" s="43">
        <v>0</v>
      </c>
      <c r="C419" s="43" t="s">
        <v>20</v>
      </c>
      <c r="D419" s="43" t="s">
        <v>45</v>
      </c>
      <c r="E419" s="43">
        <v>4</v>
      </c>
    </row>
    <row r="420" spans="2:5">
      <c r="B420" s="43">
        <v>1</v>
      </c>
      <c r="C420" s="43" t="s">
        <v>20</v>
      </c>
      <c r="D420" s="43" t="s">
        <v>31</v>
      </c>
      <c r="E420" s="43">
        <v>0</v>
      </c>
    </row>
    <row r="421" spans="2:5">
      <c r="B421" s="43">
        <v>0</v>
      </c>
      <c r="C421" s="43" t="s">
        <v>20</v>
      </c>
      <c r="D421" s="43" t="s">
        <v>39</v>
      </c>
      <c r="E421" s="43">
        <v>1</v>
      </c>
    </row>
    <row r="422" spans="2:5">
      <c r="B422" s="43">
        <v>0</v>
      </c>
      <c r="C422" s="43" t="s">
        <v>20</v>
      </c>
      <c r="D422" s="43" t="s">
        <v>39</v>
      </c>
      <c r="E422" s="43">
        <v>6</v>
      </c>
    </row>
    <row r="423" spans="2:5">
      <c r="B423" s="43">
        <v>0</v>
      </c>
      <c r="C423" s="43" t="s">
        <v>20</v>
      </c>
      <c r="D423" s="43" t="s">
        <v>36</v>
      </c>
      <c r="E423" s="43">
        <v>0</v>
      </c>
    </row>
    <row r="424" spans="2:5">
      <c r="B424" s="43">
        <v>0</v>
      </c>
      <c r="C424" s="43" t="s">
        <v>20</v>
      </c>
      <c r="D424" s="43" t="s">
        <v>37</v>
      </c>
      <c r="E424" s="43">
        <v>4</v>
      </c>
    </row>
    <row r="425" spans="2:5">
      <c r="B425" s="43">
        <v>1</v>
      </c>
      <c r="C425" s="43" t="s">
        <v>20</v>
      </c>
      <c r="D425" s="43" t="s">
        <v>40</v>
      </c>
      <c r="E425" s="43">
        <v>10</v>
      </c>
    </row>
    <row r="426" spans="2:5">
      <c r="B426" s="43">
        <v>1</v>
      </c>
      <c r="C426" s="43" t="s">
        <v>20</v>
      </c>
      <c r="D426" s="43" t="s">
        <v>40</v>
      </c>
      <c r="E426" s="43">
        <v>0</v>
      </c>
    </row>
    <row r="427" spans="2:5">
      <c r="B427" s="43">
        <v>1</v>
      </c>
      <c r="C427" s="43" t="s">
        <v>20</v>
      </c>
      <c r="D427" s="43" t="s">
        <v>40</v>
      </c>
      <c r="E427" s="43">
        <v>6</v>
      </c>
    </row>
    <row r="428" spans="2:5">
      <c r="B428" s="43">
        <v>0</v>
      </c>
      <c r="C428" s="43" t="s">
        <v>20</v>
      </c>
      <c r="D428" s="43" t="s">
        <v>33</v>
      </c>
      <c r="E428" s="43">
        <v>9</v>
      </c>
    </row>
    <row r="429" spans="2:5">
      <c r="B429" s="43">
        <v>1</v>
      </c>
      <c r="C429" s="43" t="s">
        <v>20</v>
      </c>
      <c r="D429" s="43" t="s">
        <v>37</v>
      </c>
      <c r="E429" s="43">
        <v>0</v>
      </c>
    </row>
    <row r="430" spans="2:5">
      <c r="B430" s="43">
        <v>1</v>
      </c>
      <c r="C430" s="43" t="s">
        <v>20</v>
      </c>
      <c r="D430" s="43" t="s">
        <v>32</v>
      </c>
      <c r="E430" s="43">
        <v>0</v>
      </c>
    </row>
    <row r="431" spans="2:5">
      <c r="B431" s="43">
        <v>1</v>
      </c>
      <c r="C431" s="43" t="s">
        <v>20</v>
      </c>
      <c r="D431" s="43" t="s">
        <v>32</v>
      </c>
      <c r="E431" s="43">
        <v>4</v>
      </c>
    </row>
    <row r="432" spans="2:5">
      <c r="B432" s="43">
        <v>1</v>
      </c>
      <c r="C432" s="43" t="s">
        <v>20</v>
      </c>
      <c r="D432" s="43" t="s">
        <v>33</v>
      </c>
      <c r="E432" s="43">
        <v>0</v>
      </c>
    </row>
    <row r="433" spans="2:5">
      <c r="B433" s="43">
        <v>1</v>
      </c>
      <c r="C433" s="43" t="s">
        <v>20</v>
      </c>
      <c r="D433" s="43" t="s">
        <v>33</v>
      </c>
      <c r="E433" s="43">
        <v>0</v>
      </c>
    </row>
    <row r="434" spans="2:5">
      <c r="B434" s="43">
        <v>1</v>
      </c>
      <c r="C434" s="43" t="s">
        <v>20</v>
      </c>
      <c r="D434" s="43" t="s">
        <v>33</v>
      </c>
      <c r="E434" s="43">
        <v>1</v>
      </c>
    </row>
    <row r="435" spans="2:5">
      <c r="B435" s="43">
        <v>1</v>
      </c>
      <c r="C435" s="43" t="s">
        <v>20</v>
      </c>
      <c r="D435" s="43" t="s">
        <v>37</v>
      </c>
      <c r="E435" s="43">
        <v>2</v>
      </c>
    </row>
    <row r="436" spans="2:5">
      <c r="B436" s="43">
        <v>1</v>
      </c>
      <c r="C436" s="43" t="s">
        <v>20</v>
      </c>
      <c r="D436" s="43" t="s">
        <v>42</v>
      </c>
      <c r="E436" s="43">
        <v>3</v>
      </c>
    </row>
    <row r="437" spans="2:5">
      <c r="B437" s="43">
        <v>1</v>
      </c>
      <c r="C437" s="43" t="s">
        <v>20</v>
      </c>
      <c r="D437" s="43" t="s">
        <v>42</v>
      </c>
      <c r="E437" s="43">
        <v>1</v>
      </c>
    </row>
    <row r="438" spans="2:5">
      <c r="B438" s="43">
        <v>1</v>
      </c>
      <c r="C438" s="43" t="s">
        <v>20</v>
      </c>
      <c r="D438" s="43" t="s">
        <v>42</v>
      </c>
      <c r="E438" s="43">
        <v>0</v>
      </c>
    </row>
    <row r="439" spans="2:5">
      <c r="B439" s="43">
        <v>1</v>
      </c>
      <c r="C439" s="43" t="s">
        <v>20</v>
      </c>
      <c r="D439" s="43" t="s">
        <v>33</v>
      </c>
      <c r="E439" s="43">
        <v>1</v>
      </c>
    </row>
    <row r="440" spans="2:5">
      <c r="B440" s="43">
        <v>1</v>
      </c>
      <c r="C440" s="43" t="s">
        <v>20</v>
      </c>
      <c r="D440" s="43" t="s">
        <v>33</v>
      </c>
      <c r="E440" s="43">
        <v>0</v>
      </c>
    </row>
    <row r="441" spans="2:5">
      <c r="B441" s="43">
        <v>1</v>
      </c>
      <c r="C441" s="43" t="s">
        <v>20</v>
      </c>
      <c r="D441" s="43" t="s">
        <v>40</v>
      </c>
      <c r="E441" s="43">
        <v>0</v>
      </c>
    </row>
    <row r="442" spans="2:5">
      <c r="B442" s="43">
        <v>1</v>
      </c>
      <c r="C442" s="43" t="s">
        <v>20</v>
      </c>
      <c r="D442" s="43" t="s">
        <v>33</v>
      </c>
      <c r="E442" s="43">
        <v>2</v>
      </c>
    </row>
    <row r="443" spans="2:5">
      <c r="B443" s="43">
        <v>1</v>
      </c>
      <c r="C443" s="43" t="s">
        <v>20</v>
      </c>
      <c r="D443" s="43" t="s">
        <v>33</v>
      </c>
      <c r="E443" s="43">
        <v>0</v>
      </c>
    </row>
    <row r="444" spans="2:5">
      <c r="B444" s="43">
        <v>1</v>
      </c>
      <c r="C444" s="43" t="s">
        <v>20</v>
      </c>
      <c r="D444" s="43" t="s">
        <v>42</v>
      </c>
      <c r="E444" s="43">
        <v>3</v>
      </c>
    </row>
    <row r="445" spans="2:5">
      <c r="B445" s="43">
        <v>1</v>
      </c>
      <c r="C445" s="43" t="s">
        <v>20</v>
      </c>
      <c r="D445" s="43" t="s">
        <v>33</v>
      </c>
      <c r="E445" s="43">
        <v>2</v>
      </c>
    </row>
    <row r="446" spans="2:5">
      <c r="B446" s="43">
        <v>0</v>
      </c>
      <c r="C446" s="43" t="s">
        <v>20</v>
      </c>
      <c r="D446" s="43" t="s">
        <v>33</v>
      </c>
      <c r="E446" s="43">
        <v>1</v>
      </c>
    </row>
    <row r="447" spans="2:5">
      <c r="B447" s="43">
        <v>0</v>
      </c>
      <c r="C447" s="43" t="s">
        <v>20</v>
      </c>
      <c r="D447" s="43" t="s">
        <v>40</v>
      </c>
      <c r="E447" s="43">
        <v>5</v>
      </c>
    </row>
    <row r="448" spans="2:5">
      <c r="B448" s="43">
        <v>0</v>
      </c>
      <c r="C448" s="43" t="s">
        <v>20</v>
      </c>
      <c r="D448" s="43" t="s">
        <v>43</v>
      </c>
      <c r="E448" s="43">
        <v>0</v>
      </c>
    </row>
    <row r="449" spans="2:5">
      <c r="B449" s="43">
        <v>0</v>
      </c>
      <c r="C449" s="43" t="s">
        <v>20</v>
      </c>
      <c r="D449" s="43" t="s">
        <v>40</v>
      </c>
      <c r="E449" s="43">
        <v>1</v>
      </c>
    </row>
    <row r="450" spans="2:5">
      <c r="B450" s="43">
        <v>0</v>
      </c>
      <c r="C450" s="43" t="s">
        <v>20</v>
      </c>
      <c r="D450" s="43" t="s">
        <v>34</v>
      </c>
      <c r="E450" s="43">
        <v>1</v>
      </c>
    </row>
    <row r="451" spans="2:5">
      <c r="B451" s="43">
        <v>0</v>
      </c>
      <c r="C451" s="43" t="s">
        <v>20</v>
      </c>
      <c r="D451" s="43" t="s">
        <v>32</v>
      </c>
      <c r="E451" s="43">
        <v>1</v>
      </c>
    </row>
    <row r="452" spans="2:5">
      <c r="B452" s="43">
        <v>0</v>
      </c>
      <c r="C452" s="43" t="s">
        <v>20</v>
      </c>
      <c r="D452" s="43" t="s">
        <v>30</v>
      </c>
      <c r="E452" s="43">
        <v>2</v>
      </c>
    </row>
    <row r="453" spans="2:5">
      <c r="B453" s="43">
        <v>1</v>
      </c>
      <c r="C453" s="43" t="s">
        <v>20</v>
      </c>
      <c r="D453" s="43" t="s">
        <v>32</v>
      </c>
      <c r="E453" s="43">
        <v>0</v>
      </c>
    </row>
    <row r="454" spans="2:5">
      <c r="B454" s="43">
        <v>0</v>
      </c>
      <c r="C454" s="43" t="s">
        <v>20</v>
      </c>
      <c r="D454" s="43" t="s">
        <v>33</v>
      </c>
      <c r="E454" s="43">
        <v>3</v>
      </c>
    </row>
    <row r="455" spans="2:5">
      <c r="B455" s="43">
        <v>1</v>
      </c>
      <c r="C455" s="43" t="s">
        <v>20</v>
      </c>
      <c r="D455" s="43" t="s">
        <v>37</v>
      </c>
      <c r="E455" s="43">
        <v>3</v>
      </c>
    </row>
    <row r="456" spans="2:5">
      <c r="B456" s="43">
        <v>1</v>
      </c>
      <c r="C456" s="43" t="s">
        <v>20</v>
      </c>
      <c r="D456" s="43" t="s">
        <v>40</v>
      </c>
      <c r="E456" s="43">
        <v>3</v>
      </c>
    </row>
    <row r="457" spans="2:5">
      <c r="B457" s="43">
        <v>0</v>
      </c>
      <c r="C457" s="43" t="s">
        <v>20</v>
      </c>
      <c r="D457" s="43" t="s">
        <v>39</v>
      </c>
      <c r="E457" s="43">
        <v>2</v>
      </c>
    </row>
    <row r="458" spans="2:5">
      <c r="B458" s="43">
        <v>0</v>
      </c>
      <c r="C458" s="43" t="s">
        <v>20</v>
      </c>
      <c r="D458" s="43" t="s">
        <v>38</v>
      </c>
      <c r="E458" s="43">
        <v>13</v>
      </c>
    </row>
    <row r="459" spans="2:5">
      <c r="B459" s="43">
        <v>1</v>
      </c>
      <c r="C459" s="43" t="s">
        <v>20</v>
      </c>
      <c r="D459" s="43" t="s">
        <v>32</v>
      </c>
      <c r="E459" s="43">
        <v>5</v>
      </c>
    </row>
    <row r="460" spans="2:5">
      <c r="B460" s="43">
        <v>0</v>
      </c>
      <c r="C460" s="43" t="s">
        <v>20</v>
      </c>
      <c r="D460" s="43" t="s">
        <v>40</v>
      </c>
      <c r="E460" s="43">
        <v>9</v>
      </c>
    </row>
    <row r="461" spans="2:5">
      <c r="B461" s="43">
        <v>1</v>
      </c>
      <c r="C461" s="43" t="s">
        <v>20</v>
      </c>
      <c r="D461" s="43" t="s">
        <v>33</v>
      </c>
      <c r="E461" s="43">
        <v>0</v>
      </c>
    </row>
    <row r="462" spans="2:5">
      <c r="B462" s="43">
        <v>1</v>
      </c>
      <c r="C462" s="43" t="s">
        <v>20</v>
      </c>
      <c r="D462" s="43" t="s">
        <v>41</v>
      </c>
      <c r="E462" s="43">
        <v>0</v>
      </c>
    </row>
    <row r="463" spans="2:5">
      <c r="B463" s="43">
        <v>1</v>
      </c>
      <c r="C463" s="43" t="s">
        <v>20</v>
      </c>
      <c r="D463" s="43" t="s">
        <v>33</v>
      </c>
      <c r="E463" s="43">
        <v>1</v>
      </c>
    </row>
    <row r="464" spans="2:5">
      <c r="B464" s="43">
        <v>1</v>
      </c>
      <c r="C464" s="43" t="s">
        <v>20</v>
      </c>
      <c r="D464" s="43" t="s">
        <v>40</v>
      </c>
      <c r="E464" s="43">
        <v>0</v>
      </c>
    </row>
    <row r="465" spans="2:5">
      <c r="B465" s="43">
        <v>1</v>
      </c>
      <c r="C465" s="43" t="s">
        <v>20</v>
      </c>
      <c r="D465" s="43" t="s">
        <v>33</v>
      </c>
      <c r="E465" s="43">
        <v>0</v>
      </c>
    </row>
    <row r="466" spans="2:5">
      <c r="B466" s="43">
        <v>1</v>
      </c>
      <c r="C466" s="43" t="s">
        <v>20</v>
      </c>
      <c r="D466" s="43" t="s">
        <v>42</v>
      </c>
      <c r="E466" s="43">
        <v>0</v>
      </c>
    </row>
    <row r="467" spans="2:5">
      <c r="B467" s="43">
        <v>0</v>
      </c>
      <c r="C467" s="43" t="s">
        <v>20</v>
      </c>
      <c r="D467" s="43" t="s">
        <v>34</v>
      </c>
      <c r="E467" s="43">
        <v>11</v>
      </c>
    </row>
    <row r="468" spans="2:5">
      <c r="B468" s="43">
        <v>1</v>
      </c>
      <c r="C468" s="43" t="s">
        <v>20</v>
      </c>
      <c r="D468" s="43" t="s">
        <v>33</v>
      </c>
      <c r="E468" s="43">
        <v>3</v>
      </c>
    </row>
    <row r="469" spans="2:5">
      <c r="B469" s="43">
        <v>1</v>
      </c>
      <c r="C469" s="43" t="s">
        <v>20</v>
      </c>
      <c r="D469" s="43" t="s">
        <v>33</v>
      </c>
      <c r="E469" s="43">
        <v>0</v>
      </c>
    </row>
    <row r="470" spans="2:5">
      <c r="B470" s="43">
        <v>0</v>
      </c>
      <c r="C470" s="43" t="s">
        <v>20</v>
      </c>
      <c r="D470" s="43" t="s">
        <v>34</v>
      </c>
      <c r="E470" s="43">
        <v>0</v>
      </c>
    </row>
    <row r="471" spans="2:5">
      <c r="B471" s="43">
        <v>0</v>
      </c>
      <c r="C471" s="43" t="s">
        <v>20</v>
      </c>
      <c r="D471" s="43" t="s">
        <v>40</v>
      </c>
      <c r="E471" s="43">
        <v>0</v>
      </c>
    </row>
    <row r="472" spans="2:5">
      <c r="B472" s="43">
        <v>1</v>
      </c>
      <c r="C472" s="43" t="s">
        <v>20</v>
      </c>
      <c r="D472" s="43" t="s">
        <v>38</v>
      </c>
      <c r="E472" s="43">
        <v>0</v>
      </c>
    </row>
    <row r="473" spans="2:5">
      <c r="B473" s="43">
        <v>0</v>
      </c>
      <c r="C473" s="43" t="s">
        <v>20</v>
      </c>
      <c r="D473" s="43" t="s">
        <v>33</v>
      </c>
      <c r="E473" s="43">
        <v>0</v>
      </c>
    </row>
    <row r="474" spans="2:5">
      <c r="B474" s="43">
        <v>1</v>
      </c>
      <c r="C474" s="43" t="s">
        <v>20</v>
      </c>
      <c r="D474" s="43"/>
      <c r="E474" s="43">
        <v>0</v>
      </c>
    </row>
    <row r="475" spans="2:5">
      <c r="B475" s="43">
        <v>1</v>
      </c>
      <c r="C475" s="43" t="s">
        <v>20</v>
      </c>
      <c r="D475" s="43" t="s">
        <v>37</v>
      </c>
      <c r="E475" s="43">
        <v>0</v>
      </c>
    </row>
    <row r="476" spans="2:5">
      <c r="B476" s="43">
        <v>1</v>
      </c>
      <c r="C476" s="43" t="s">
        <v>20</v>
      </c>
      <c r="D476" s="43" t="s">
        <v>33</v>
      </c>
      <c r="E476" s="43">
        <v>1</v>
      </c>
    </row>
    <row r="477" spans="2:5">
      <c r="B477" s="43">
        <v>0</v>
      </c>
      <c r="C477" s="43" t="s">
        <v>20</v>
      </c>
      <c r="D477" s="43" t="s">
        <v>33</v>
      </c>
      <c r="E477" s="43">
        <v>0</v>
      </c>
    </row>
    <row r="478" spans="2:5">
      <c r="B478" s="43">
        <v>1</v>
      </c>
      <c r="C478" s="43" t="s">
        <v>20</v>
      </c>
      <c r="D478" s="43" t="s">
        <v>40</v>
      </c>
      <c r="E478" s="43">
        <v>1</v>
      </c>
    </row>
    <row r="479" spans="2:5">
      <c r="B479" s="43">
        <v>1</v>
      </c>
      <c r="C479" s="43" t="s">
        <v>20</v>
      </c>
      <c r="D479" s="43" t="s">
        <v>33</v>
      </c>
      <c r="E479" s="43">
        <v>0</v>
      </c>
    </row>
    <row r="480" spans="2:5">
      <c r="B480" s="43">
        <v>0</v>
      </c>
      <c r="C480" s="43" t="s">
        <v>20</v>
      </c>
      <c r="D480" s="43" t="s">
        <v>41</v>
      </c>
      <c r="E480" s="43">
        <v>0</v>
      </c>
    </row>
    <row r="481" spans="2:5">
      <c r="B481" s="43">
        <v>0</v>
      </c>
      <c r="C481" s="43" t="s">
        <v>20</v>
      </c>
      <c r="D481" s="43" t="s">
        <v>41</v>
      </c>
      <c r="E481" s="43">
        <v>0</v>
      </c>
    </row>
    <row r="482" spans="2:5">
      <c r="B482" s="43">
        <v>0</v>
      </c>
      <c r="C482" s="43" t="s">
        <v>20</v>
      </c>
      <c r="D482" s="43" t="s">
        <v>41</v>
      </c>
      <c r="E482" s="43">
        <v>0</v>
      </c>
    </row>
    <row r="483" spans="2:5">
      <c r="B483" s="43">
        <v>0</v>
      </c>
      <c r="C483" s="43" t="s">
        <v>20</v>
      </c>
      <c r="D483" s="43" t="s">
        <v>33</v>
      </c>
      <c r="E483" s="43">
        <v>0</v>
      </c>
    </row>
    <row r="484" spans="2:5">
      <c r="B484" s="43">
        <v>1</v>
      </c>
      <c r="C484" s="43" t="s">
        <v>20</v>
      </c>
      <c r="D484" s="43"/>
      <c r="E484" s="43">
        <v>0</v>
      </c>
    </row>
    <row r="485" spans="2:5">
      <c r="B485" s="43">
        <v>1</v>
      </c>
      <c r="C485" s="43" t="s">
        <v>20</v>
      </c>
      <c r="D485" s="43"/>
      <c r="E485" s="43">
        <v>1</v>
      </c>
    </row>
    <row r="486" spans="2:5">
      <c r="B486" s="43">
        <v>1</v>
      </c>
      <c r="C486" s="43" t="s">
        <v>20</v>
      </c>
      <c r="D486" s="43" t="s">
        <v>40</v>
      </c>
      <c r="E486" s="43">
        <v>0</v>
      </c>
    </row>
    <row r="487" spans="2:5">
      <c r="B487" s="43">
        <v>0</v>
      </c>
      <c r="C487" s="43" t="s">
        <v>20</v>
      </c>
      <c r="D487" s="43" t="s">
        <v>32</v>
      </c>
      <c r="E487" s="43">
        <v>0</v>
      </c>
    </row>
    <row r="488" spans="2:5">
      <c r="B488" s="43">
        <v>1</v>
      </c>
      <c r="C488" s="43" t="s">
        <v>20</v>
      </c>
      <c r="D488" s="43" t="s">
        <v>33</v>
      </c>
      <c r="E488" s="43">
        <v>0</v>
      </c>
    </row>
    <row r="489" spans="2:5">
      <c r="B489" s="43">
        <v>1</v>
      </c>
      <c r="C489" s="43" t="s">
        <v>20</v>
      </c>
      <c r="D489" s="43" t="s">
        <v>40</v>
      </c>
      <c r="E489" s="43">
        <v>0</v>
      </c>
    </row>
    <row r="490" spans="2:5">
      <c r="B490" s="43">
        <v>1</v>
      </c>
      <c r="C490" s="43" t="s">
        <v>20</v>
      </c>
      <c r="D490" s="43" t="s">
        <v>42</v>
      </c>
      <c r="E490" s="43">
        <v>0</v>
      </c>
    </row>
    <row r="491" spans="2:5">
      <c r="B491" s="43">
        <v>1</v>
      </c>
      <c r="C491" s="43" t="s">
        <v>20</v>
      </c>
      <c r="D491" s="43" t="s">
        <v>37</v>
      </c>
      <c r="E491" s="43">
        <v>0</v>
      </c>
    </row>
    <row r="492" spans="2:5">
      <c r="B492" s="43">
        <v>1</v>
      </c>
      <c r="C492" s="43" t="s">
        <v>20</v>
      </c>
      <c r="D492" s="43" t="s">
        <v>33</v>
      </c>
      <c r="E492" s="43">
        <v>0</v>
      </c>
    </row>
    <row r="493" spans="2:5">
      <c r="B493" s="43">
        <v>1</v>
      </c>
      <c r="C493" s="43" t="s">
        <v>20</v>
      </c>
      <c r="D493" s="43" t="s">
        <v>37</v>
      </c>
      <c r="E493" s="43">
        <v>0</v>
      </c>
    </row>
    <row r="494" spans="2:5">
      <c r="B494" s="43">
        <v>1</v>
      </c>
      <c r="C494" s="43" t="s">
        <v>20</v>
      </c>
      <c r="D494" s="43" t="s">
        <v>42</v>
      </c>
      <c r="E494" s="43">
        <v>0</v>
      </c>
    </row>
    <row r="495" spans="2:5">
      <c r="B495" s="43">
        <v>1</v>
      </c>
      <c r="C495" s="43" t="s">
        <v>20</v>
      </c>
      <c r="D495" s="43" t="s">
        <v>33</v>
      </c>
      <c r="E495" s="43">
        <v>0</v>
      </c>
    </row>
    <row r="496" spans="2:5">
      <c r="B496" s="43">
        <v>1</v>
      </c>
      <c r="C496" s="43" t="s">
        <v>20</v>
      </c>
      <c r="D496" s="43" t="s">
        <v>42</v>
      </c>
      <c r="E496" s="43">
        <v>0</v>
      </c>
    </row>
    <row r="497" spans="2:5">
      <c r="B497" s="43">
        <v>1</v>
      </c>
      <c r="C497" s="43" t="s">
        <v>20</v>
      </c>
      <c r="D497" s="43" t="s">
        <v>33</v>
      </c>
      <c r="E497" s="43">
        <v>0</v>
      </c>
    </row>
    <row r="498" spans="2:5">
      <c r="B498" s="43">
        <v>1</v>
      </c>
      <c r="C498" s="43" t="s">
        <v>20</v>
      </c>
      <c r="D498" s="43" t="s">
        <v>33</v>
      </c>
      <c r="E498" s="43">
        <v>0</v>
      </c>
    </row>
    <row r="499" spans="2:5">
      <c r="B499" s="43">
        <v>0</v>
      </c>
      <c r="C499" s="43" t="s">
        <v>20</v>
      </c>
      <c r="D499" s="43" t="s">
        <v>36</v>
      </c>
      <c r="E499" s="43">
        <v>0</v>
      </c>
    </row>
    <row r="500" spans="2:5">
      <c r="B500" s="43">
        <v>1</v>
      </c>
      <c r="C500" s="43" t="s">
        <v>20</v>
      </c>
      <c r="D500" s="43" t="s">
        <v>42</v>
      </c>
      <c r="E500" s="43">
        <v>0</v>
      </c>
    </row>
    <row r="501" spans="2:5">
      <c r="B501" s="43">
        <v>0</v>
      </c>
      <c r="C501" s="43" t="s">
        <v>20</v>
      </c>
      <c r="D501" s="43" t="s">
        <v>31</v>
      </c>
      <c r="E501" s="43">
        <v>0</v>
      </c>
    </row>
    <row r="502" spans="2:5">
      <c r="B502" s="43">
        <v>1</v>
      </c>
      <c r="C502" s="43" t="s">
        <v>20</v>
      </c>
      <c r="D502" s="43" t="s">
        <v>33</v>
      </c>
      <c r="E502" s="43">
        <v>0</v>
      </c>
    </row>
    <row r="503" spans="2:5">
      <c r="B503" s="43">
        <v>0</v>
      </c>
      <c r="C503" s="43" t="s">
        <v>20</v>
      </c>
      <c r="D503" s="43" t="s">
        <v>34</v>
      </c>
      <c r="E503" s="43">
        <v>0</v>
      </c>
    </row>
    <row r="504" spans="2:5">
      <c r="B504" s="43">
        <v>1</v>
      </c>
      <c r="C504" s="43" t="s">
        <v>20</v>
      </c>
      <c r="D504" s="43" t="s">
        <v>42</v>
      </c>
      <c r="E504" s="43">
        <v>0</v>
      </c>
    </row>
    <row r="505" spans="2:5">
      <c r="B505" s="43">
        <v>1</v>
      </c>
      <c r="C505" s="43" t="s">
        <v>20</v>
      </c>
      <c r="D505" s="43" t="s">
        <v>40</v>
      </c>
      <c r="E505" s="43">
        <v>0</v>
      </c>
    </row>
    <row r="506" spans="2:5">
      <c r="B506" s="43">
        <v>0</v>
      </c>
      <c r="C506" s="43" t="s">
        <v>21</v>
      </c>
      <c r="D506" s="43" t="s">
        <v>31</v>
      </c>
      <c r="E506" s="43">
        <v>0</v>
      </c>
    </row>
    <row r="507" spans="2:5">
      <c r="B507" s="43">
        <v>0</v>
      </c>
      <c r="C507" s="43" t="s">
        <v>21</v>
      </c>
      <c r="D507" s="43" t="s">
        <v>42</v>
      </c>
      <c r="E507" s="43">
        <v>5</v>
      </c>
    </row>
    <row r="508" spans="2:5">
      <c r="B508" s="43">
        <v>1</v>
      </c>
      <c r="C508" s="43" t="s">
        <v>21</v>
      </c>
      <c r="D508" s="43" t="s">
        <v>32</v>
      </c>
      <c r="E508" s="43">
        <v>4</v>
      </c>
    </row>
    <row r="509" spans="2:5">
      <c r="B509" s="43">
        <v>1</v>
      </c>
      <c r="C509" s="43" t="s">
        <v>21</v>
      </c>
      <c r="D509" s="43"/>
      <c r="E509" s="43">
        <v>4</v>
      </c>
    </row>
    <row r="510" spans="2:5">
      <c r="B510" s="43">
        <v>0</v>
      </c>
      <c r="C510" s="43" t="s">
        <v>21</v>
      </c>
      <c r="D510" s="43"/>
      <c r="E510" s="43">
        <v>1</v>
      </c>
    </row>
    <row r="511" spans="2:5">
      <c r="B511" s="43">
        <v>0</v>
      </c>
      <c r="C511" s="43" t="s">
        <v>21</v>
      </c>
      <c r="D511" s="43" t="s">
        <v>40</v>
      </c>
      <c r="E511" s="43">
        <v>6</v>
      </c>
    </row>
    <row r="512" spans="2:5">
      <c r="B512" s="43">
        <v>1</v>
      </c>
      <c r="C512" s="43" t="s">
        <v>21</v>
      </c>
      <c r="D512" s="43" t="s">
        <v>42</v>
      </c>
      <c r="E512" s="43">
        <v>0</v>
      </c>
    </row>
    <row r="513" spans="2:5">
      <c r="B513" s="43">
        <v>1</v>
      </c>
      <c r="C513" s="43" t="s">
        <v>21</v>
      </c>
      <c r="D513" s="43" t="s">
        <v>33</v>
      </c>
      <c r="E513" s="43">
        <v>3</v>
      </c>
    </row>
    <row r="514" spans="2:5">
      <c r="B514" s="43">
        <v>0</v>
      </c>
      <c r="C514" s="43" t="s">
        <v>21</v>
      </c>
      <c r="D514" s="43" t="s">
        <v>42</v>
      </c>
      <c r="E514" s="43">
        <v>0</v>
      </c>
    </row>
    <row r="515" spans="2:5">
      <c r="B515" s="43">
        <v>1</v>
      </c>
      <c r="C515" s="43" t="s">
        <v>21</v>
      </c>
      <c r="D515" s="43" t="s">
        <v>33</v>
      </c>
      <c r="E515" s="43">
        <v>0</v>
      </c>
    </row>
    <row r="516" spans="2:5">
      <c r="B516" s="43">
        <v>1</v>
      </c>
      <c r="C516" s="43" t="s">
        <v>21</v>
      </c>
      <c r="D516" s="43" t="s">
        <v>42</v>
      </c>
      <c r="E516" s="43">
        <v>0</v>
      </c>
    </row>
    <row r="517" spans="2:5">
      <c r="B517" s="43">
        <v>1</v>
      </c>
      <c r="C517" s="43" t="s">
        <v>21</v>
      </c>
      <c r="D517" s="43" t="s">
        <v>32</v>
      </c>
      <c r="E517" s="43">
        <v>2</v>
      </c>
    </row>
    <row r="518" spans="2:5">
      <c r="B518" s="43">
        <v>1</v>
      </c>
      <c r="C518" s="43" t="s">
        <v>21</v>
      </c>
      <c r="D518" s="43" t="s">
        <v>40</v>
      </c>
      <c r="E518" s="43">
        <v>0</v>
      </c>
    </row>
    <row r="519" spans="2:5">
      <c r="B519" s="43">
        <v>0</v>
      </c>
      <c r="C519" s="43" t="s">
        <v>21</v>
      </c>
      <c r="D519" s="43" t="s">
        <v>33</v>
      </c>
      <c r="E519" s="43">
        <v>0</v>
      </c>
    </row>
    <row r="520" spans="2:5">
      <c r="B520" s="43">
        <v>0</v>
      </c>
      <c r="C520" s="43" t="s">
        <v>21</v>
      </c>
      <c r="D520" s="43" t="s">
        <v>39</v>
      </c>
      <c r="E520" s="43">
        <v>0</v>
      </c>
    </row>
    <row r="521" spans="2:5">
      <c r="B521" s="43">
        <v>0</v>
      </c>
      <c r="C521" s="43" t="s">
        <v>22</v>
      </c>
      <c r="D521" s="43" t="s">
        <v>32</v>
      </c>
      <c r="E521" s="43">
        <v>0</v>
      </c>
    </row>
    <row r="522" spans="2:5">
      <c r="B522" s="43">
        <v>1</v>
      </c>
      <c r="C522" s="43" t="s">
        <v>23</v>
      </c>
      <c r="D522" s="43" t="s">
        <v>33</v>
      </c>
      <c r="E522" s="43">
        <v>0</v>
      </c>
    </row>
    <row r="523" spans="2:5">
      <c r="B523" s="43">
        <v>0</v>
      </c>
      <c r="C523" s="43" t="s">
        <v>23</v>
      </c>
      <c r="D523" s="43" t="s">
        <v>34</v>
      </c>
      <c r="E523" s="43">
        <v>1</v>
      </c>
    </row>
    <row r="524" spans="2:5">
      <c r="B524" s="43">
        <v>1</v>
      </c>
      <c r="C524" s="43" t="s">
        <v>23</v>
      </c>
      <c r="D524" s="43" t="s">
        <v>32</v>
      </c>
      <c r="E524" s="43">
        <v>0</v>
      </c>
    </row>
    <row r="525" spans="2:5">
      <c r="B525" s="43">
        <v>0</v>
      </c>
      <c r="C525" s="43" t="s">
        <v>23</v>
      </c>
      <c r="D525" s="43" t="s">
        <v>43</v>
      </c>
      <c r="E525" s="43">
        <v>1</v>
      </c>
    </row>
    <row r="526" spans="2:5">
      <c r="B526" s="43">
        <v>1</v>
      </c>
      <c r="C526" s="43" t="s">
        <v>23</v>
      </c>
      <c r="D526" s="43" t="s">
        <v>32</v>
      </c>
      <c r="E526" s="43">
        <v>1</v>
      </c>
    </row>
    <row r="527" spans="2:5">
      <c r="B527" s="43">
        <v>0</v>
      </c>
      <c r="C527" s="43" t="s">
        <v>23</v>
      </c>
      <c r="D527" s="43" t="s">
        <v>41</v>
      </c>
      <c r="E527" s="43">
        <v>4</v>
      </c>
    </row>
    <row r="528" spans="2:5">
      <c r="B528" s="43">
        <v>0</v>
      </c>
      <c r="C528" s="43" t="s">
        <v>23</v>
      </c>
      <c r="D528" s="43" t="s">
        <v>34</v>
      </c>
      <c r="E528" s="43">
        <v>1</v>
      </c>
    </row>
    <row r="529" spans="2:5">
      <c r="B529" s="43">
        <v>1</v>
      </c>
      <c r="C529" s="43" t="s">
        <v>23</v>
      </c>
      <c r="D529" s="43" t="s">
        <v>33</v>
      </c>
      <c r="E529" s="43">
        <v>1</v>
      </c>
    </row>
    <row r="530" spans="2:5">
      <c r="B530" s="43">
        <v>1</v>
      </c>
      <c r="C530" s="43" t="s">
        <v>23</v>
      </c>
      <c r="D530" s="43" t="s">
        <v>41</v>
      </c>
      <c r="E530" s="43">
        <v>6</v>
      </c>
    </row>
    <row r="531" spans="2:5">
      <c r="B531" s="43">
        <v>1</v>
      </c>
      <c r="C531" s="43" t="s">
        <v>23</v>
      </c>
      <c r="D531" s="43" t="s">
        <v>30</v>
      </c>
      <c r="E531" s="43">
        <v>1</v>
      </c>
    </row>
    <row r="532" spans="2:5">
      <c r="B532" s="43">
        <v>1</v>
      </c>
      <c r="C532" s="43" t="s">
        <v>23</v>
      </c>
      <c r="D532" s="43" t="s">
        <v>32</v>
      </c>
      <c r="E532" s="43">
        <v>1</v>
      </c>
    </row>
    <row r="533" spans="2:5">
      <c r="B533" s="43">
        <v>1</v>
      </c>
      <c r="C533" s="43" t="s">
        <v>23</v>
      </c>
      <c r="D533" s="43" t="s">
        <v>33</v>
      </c>
      <c r="E533" s="43">
        <v>1</v>
      </c>
    </row>
    <row r="534" spans="2:5">
      <c r="B534" s="43">
        <v>1</v>
      </c>
      <c r="C534" s="43" t="s">
        <v>23</v>
      </c>
      <c r="D534" s="43" t="s">
        <v>32</v>
      </c>
      <c r="E534" s="43">
        <v>0</v>
      </c>
    </row>
    <row r="535" spans="2:5">
      <c r="B535" s="43">
        <v>1</v>
      </c>
      <c r="C535" s="43" t="s">
        <v>23</v>
      </c>
      <c r="D535" s="43" t="s">
        <v>32</v>
      </c>
      <c r="E535" s="43">
        <v>0</v>
      </c>
    </row>
    <row r="536" spans="2:5">
      <c r="B536" s="43">
        <v>1</v>
      </c>
      <c r="C536" s="43" t="s">
        <v>23</v>
      </c>
      <c r="D536" s="43" t="s">
        <v>32</v>
      </c>
      <c r="E536" s="43">
        <v>1</v>
      </c>
    </row>
    <row r="537" spans="2:5">
      <c r="B537" s="43">
        <v>1</v>
      </c>
      <c r="C537" s="43" t="s">
        <v>23</v>
      </c>
      <c r="D537" s="43" t="s">
        <v>32</v>
      </c>
      <c r="E537" s="43">
        <v>14</v>
      </c>
    </row>
    <row r="538" spans="2:5">
      <c r="B538" s="43">
        <v>1</v>
      </c>
      <c r="C538" s="43" t="s">
        <v>23</v>
      </c>
      <c r="D538" s="43" t="s">
        <v>32</v>
      </c>
      <c r="E538" s="43">
        <v>7</v>
      </c>
    </row>
    <row r="539" spans="2:5">
      <c r="B539" s="43">
        <v>1</v>
      </c>
      <c r="C539" s="43" t="s">
        <v>23</v>
      </c>
      <c r="D539" s="43" t="s">
        <v>32</v>
      </c>
      <c r="E539" s="43">
        <v>0</v>
      </c>
    </row>
    <row r="540" spans="2:5">
      <c r="B540" s="43">
        <v>1</v>
      </c>
      <c r="C540" s="43" t="s">
        <v>23</v>
      </c>
      <c r="D540" s="43" t="s">
        <v>33</v>
      </c>
      <c r="E540" s="43">
        <v>0</v>
      </c>
    </row>
    <row r="541" spans="2:5">
      <c r="B541" s="43">
        <v>1</v>
      </c>
      <c r="C541" s="43" t="s">
        <v>23</v>
      </c>
      <c r="D541" s="43" t="s">
        <v>37</v>
      </c>
      <c r="E541" s="43">
        <v>1</v>
      </c>
    </row>
    <row r="542" spans="2:5">
      <c r="B542" s="43">
        <v>1</v>
      </c>
      <c r="C542" s="43" t="s">
        <v>23</v>
      </c>
      <c r="D542" s="43" t="s">
        <v>32</v>
      </c>
      <c r="E542" s="43">
        <v>0</v>
      </c>
    </row>
    <row r="543" spans="2:5">
      <c r="B543" s="43">
        <v>1</v>
      </c>
      <c r="C543" s="43" t="s">
        <v>23</v>
      </c>
      <c r="D543" s="43" t="s">
        <v>32</v>
      </c>
      <c r="E543" s="43">
        <v>0</v>
      </c>
    </row>
    <row r="544" spans="2:5">
      <c r="B544" s="43">
        <v>0</v>
      </c>
      <c r="C544" s="43" t="s">
        <v>23</v>
      </c>
      <c r="D544" s="43" t="s">
        <v>32</v>
      </c>
      <c r="E544" s="43">
        <v>0</v>
      </c>
    </row>
    <row r="545" spans="2:5">
      <c r="B545" s="43">
        <v>0</v>
      </c>
      <c r="C545" s="43" t="s">
        <v>23</v>
      </c>
      <c r="D545" s="43" t="s">
        <v>34</v>
      </c>
      <c r="E545" s="43">
        <v>1</v>
      </c>
    </row>
    <row r="546" spans="2:5">
      <c r="B546" s="43">
        <v>1</v>
      </c>
      <c r="C546" s="43" t="s">
        <v>23</v>
      </c>
      <c r="D546" s="43" t="s">
        <v>33</v>
      </c>
      <c r="E546" s="43">
        <v>1</v>
      </c>
    </row>
    <row r="547" spans="2:5">
      <c r="B547" s="43">
        <v>1</v>
      </c>
      <c r="C547" s="43" t="s">
        <v>23</v>
      </c>
      <c r="D547" s="43"/>
      <c r="E547" s="43">
        <v>1</v>
      </c>
    </row>
    <row r="548" spans="2:5">
      <c r="B548" s="43">
        <v>1</v>
      </c>
      <c r="C548" s="43" t="s">
        <v>23</v>
      </c>
      <c r="D548" s="43" t="s">
        <v>40</v>
      </c>
      <c r="E548" s="43">
        <v>1</v>
      </c>
    </row>
    <row r="549" spans="2:5">
      <c r="B549" s="43">
        <v>1</v>
      </c>
      <c r="C549" s="43" t="s">
        <v>23</v>
      </c>
      <c r="D549" s="43" t="s">
        <v>31</v>
      </c>
      <c r="E549" s="43">
        <v>1</v>
      </c>
    </row>
    <row r="550" spans="2:5">
      <c r="B550" s="43">
        <v>0</v>
      </c>
      <c r="C550" s="43" t="s">
        <v>23</v>
      </c>
      <c r="D550" s="43" t="s">
        <v>40</v>
      </c>
      <c r="E550" s="43">
        <v>1</v>
      </c>
    </row>
    <row r="551" spans="2:5">
      <c r="B551" s="43">
        <v>1</v>
      </c>
      <c r="C551" s="43" t="s">
        <v>23</v>
      </c>
      <c r="D551" s="43"/>
      <c r="E551" s="43">
        <v>0</v>
      </c>
    </row>
    <row r="552" spans="2:5">
      <c r="B552" s="43">
        <v>1</v>
      </c>
      <c r="C552" s="43" t="s">
        <v>23</v>
      </c>
      <c r="D552" s="43" t="s">
        <v>33</v>
      </c>
      <c r="E552" s="43">
        <v>0</v>
      </c>
    </row>
    <row r="553" spans="2:5">
      <c r="B553" s="43">
        <v>0</v>
      </c>
      <c r="C553" s="43" t="s">
        <v>23</v>
      </c>
      <c r="D553" s="43" t="s">
        <v>32</v>
      </c>
      <c r="E553" s="43">
        <v>0</v>
      </c>
    </row>
    <row r="554" spans="2:5">
      <c r="B554" s="43">
        <v>1</v>
      </c>
      <c r="C554" s="43" t="s">
        <v>23</v>
      </c>
      <c r="D554" s="43" t="s">
        <v>32</v>
      </c>
      <c r="E554" s="43">
        <v>0</v>
      </c>
    </row>
    <row r="555" spans="2:5">
      <c r="B555" s="43">
        <v>1</v>
      </c>
      <c r="C555" s="43" t="s">
        <v>23</v>
      </c>
      <c r="D555" s="43" t="s">
        <v>31</v>
      </c>
      <c r="E555" s="43">
        <v>0</v>
      </c>
    </row>
    <row r="556" spans="2:5">
      <c r="B556" s="43">
        <v>1</v>
      </c>
      <c r="C556" s="43" t="s">
        <v>23</v>
      </c>
      <c r="D556" s="43" t="s">
        <v>37</v>
      </c>
      <c r="E556" s="43">
        <v>0</v>
      </c>
    </row>
    <row r="557" spans="2:5">
      <c r="B557" s="43">
        <v>1</v>
      </c>
      <c r="C557" s="43" t="s">
        <v>23</v>
      </c>
      <c r="D557" s="43" t="s">
        <v>33</v>
      </c>
      <c r="E557" s="43">
        <v>1</v>
      </c>
    </row>
    <row r="558" spans="2:5">
      <c r="B558" s="43">
        <v>1</v>
      </c>
      <c r="C558" s="43" t="s">
        <v>23</v>
      </c>
      <c r="D558" s="43" t="s">
        <v>33</v>
      </c>
      <c r="E558" s="43">
        <v>0</v>
      </c>
    </row>
    <row r="559" spans="2:5">
      <c r="B559" s="43">
        <v>0</v>
      </c>
      <c r="C559" s="43" t="s">
        <v>23</v>
      </c>
      <c r="D559" s="43" t="s">
        <v>32</v>
      </c>
      <c r="E559" s="43">
        <v>5</v>
      </c>
    </row>
    <row r="560" spans="2:5">
      <c r="B560" s="43">
        <v>0</v>
      </c>
      <c r="C560" s="43" t="s">
        <v>23</v>
      </c>
      <c r="D560" s="43" t="s">
        <v>39</v>
      </c>
      <c r="E560" s="43">
        <v>2</v>
      </c>
    </row>
    <row r="561" spans="2:5">
      <c r="B561" s="43">
        <v>1</v>
      </c>
      <c r="C561" s="43" t="s">
        <v>23</v>
      </c>
      <c r="D561" s="43" t="s">
        <v>33</v>
      </c>
      <c r="E561" s="43">
        <v>3</v>
      </c>
    </row>
    <row r="562" spans="2:5">
      <c r="B562" s="43">
        <v>1</v>
      </c>
      <c r="C562" s="43" t="s">
        <v>23</v>
      </c>
      <c r="D562" s="43" t="s">
        <v>31</v>
      </c>
      <c r="E562" s="43">
        <v>3</v>
      </c>
    </row>
    <row r="563" spans="2:5">
      <c r="B563" s="43">
        <v>1</v>
      </c>
      <c r="C563" s="43" t="s">
        <v>23</v>
      </c>
      <c r="D563" s="43" t="s">
        <v>32</v>
      </c>
      <c r="E563" s="43">
        <v>4</v>
      </c>
    </row>
    <row r="564" spans="2:5">
      <c r="B564" s="43">
        <v>1</v>
      </c>
      <c r="C564" s="43" t="s">
        <v>23</v>
      </c>
      <c r="D564" s="43" t="s">
        <v>32</v>
      </c>
      <c r="E564" s="43">
        <v>7</v>
      </c>
    </row>
    <row r="565" spans="2:5">
      <c r="B565" s="43">
        <v>0</v>
      </c>
      <c r="C565" s="43" t="s">
        <v>23</v>
      </c>
      <c r="D565" s="43" t="s">
        <v>39</v>
      </c>
      <c r="E565" s="43">
        <v>0</v>
      </c>
    </row>
    <row r="566" spans="2:5">
      <c r="B566" s="43">
        <v>0</v>
      </c>
      <c r="C566" s="43" t="s">
        <v>23</v>
      </c>
      <c r="D566" s="43" t="s">
        <v>33</v>
      </c>
      <c r="E566" s="43">
        <v>0</v>
      </c>
    </row>
    <row r="567" spans="2:5">
      <c r="B567" s="43">
        <v>1</v>
      </c>
      <c r="C567" s="43" t="s">
        <v>23</v>
      </c>
      <c r="D567" s="43" t="s">
        <v>33</v>
      </c>
      <c r="E567" s="43">
        <v>0</v>
      </c>
    </row>
    <row r="568" spans="2:5">
      <c r="B568" s="43">
        <v>1</v>
      </c>
      <c r="C568" s="43" t="s">
        <v>23</v>
      </c>
      <c r="D568" s="43" t="s">
        <v>33</v>
      </c>
      <c r="E568" s="43">
        <v>0</v>
      </c>
    </row>
    <row r="569" spans="2:5">
      <c r="B569" s="43">
        <v>1</v>
      </c>
      <c r="C569" s="43" t="s">
        <v>23</v>
      </c>
      <c r="D569" s="43" t="s">
        <v>32</v>
      </c>
      <c r="E569" s="43">
        <v>4</v>
      </c>
    </row>
    <row r="570" spans="2:5">
      <c r="B570" s="43">
        <v>1</v>
      </c>
      <c r="C570" s="43" t="s">
        <v>23</v>
      </c>
      <c r="D570" s="43" t="s">
        <v>33</v>
      </c>
      <c r="E570" s="43">
        <v>0</v>
      </c>
    </row>
    <row r="571" spans="2:5">
      <c r="B571" s="43">
        <v>1</v>
      </c>
      <c r="C571" s="43" t="s">
        <v>23</v>
      </c>
      <c r="D571" s="43" t="s">
        <v>33</v>
      </c>
      <c r="E571" s="43">
        <v>0</v>
      </c>
    </row>
    <row r="572" spans="2:5">
      <c r="B572" s="43">
        <v>1</v>
      </c>
      <c r="C572" s="43" t="s">
        <v>23</v>
      </c>
      <c r="D572" s="43" t="s">
        <v>33</v>
      </c>
      <c r="E572" s="43">
        <v>0</v>
      </c>
    </row>
    <row r="573" spans="2:5">
      <c r="B573" s="43">
        <v>1</v>
      </c>
      <c r="C573" s="43" t="s">
        <v>23</v>
      </c>
      <c r="D573" s="43" t="s">
        <v>33</v>
      </c>
      <c r="E573" s="43">
        <v>0</v>
      </c>
    </row>
    <row r="574" spans="2:5">
      <c r="B574" s="43">
        <v>1</v>
      </c>
      <c r="C574" s="43" t="s">
        <v>23</v>
      </c>
      <c r="D574" s="43" t="s">
        <v>42</v>
      </c>
      <c r="E574" s="43">
        <v>0</v>
      </c>
    </row>
    <row r="575" spans="2:5">
      <c r="B575" s="43">
        <v>1</v>
      </c>
      <c r="C575" s="43" t="s">
        <v>23</v>
      </c>
      <c r="D575" s="43" t="s">
        <v>41</v>
      </c>
      <c r="E575" s="43">
        <v>0</v>
      </c>
    </row>
    <row r="576" spans="2:5">
      <c r="B576" s="43">
        <v>1</v>
      </c>
      <c r="C576" s="43" t="s">
        <v>23</v>
      </c>
      <c r="D576" s="43" t="s">
        <v>37</v>
      </c>
      <c r="E576" s="43">
        <v>0</v>
      </c>
    </row>
    <row r="577" spans="2:5">
      <c r="B577" s="43">
        <v>0</v>
      </c>
      <c r="C577" s="43" t="s">
        <v>23</v>
      </c>
      <c r="D577" s="43" t="s">
        <v>32</v>
      </c>
      <c r="E577" s="43">
        <v>0</v>
      </c>
    </row>
    <row r="578" spans="2:5">
      <c r="B578" s="43">
        <v>0</v>
      </c>
      <c r="C578" s="43" t="s">
        <v>23</v>
      </c>
      <c r="D578" s="43" t="s">
        <v>32</v>
      </c>
      <c r="E578" s="43">
        <v>0</v>
      </c>
    </row>
    <row r="579" spans="2:5">
      <c r="B579" s="43">
        <v>1</v>
      </c>
      <c r="C579" s="43" t="s">
        <v>23</v>
      </c>
      <c r="D579" s="43" t="s">
        <v>33</v>
      </c>
      <c r="E579" s="43">
        <v>0</v>
      </c>
    </row>
    <row r="580" spans="2:5">
      <c r="B580" s="43">
        <v>1</v>
      </c>
      <c r="C580" s="43" t="s">
        <v>23</v>
      </c>
      <c r="D580" s="43" t="s">
        <v>33</v>
      </c>
      <c r="E580" s="43">
        <v>0</v>
      </c>
    </row>
    <row r="581" spans="2:5">
      <c r="B581" s="43">
        <v>1</v>
      </c>
      <c r="C581" s="43" t="s">
        <v>23</v>
      </c>
      <c r="D581" s="43" t="s">
        <v>32</v>
      </c>
      <c r="E581" s="43">
        <v>1</v>
      </c>
    </row>
    <row r="582" spans="2:5">
      <c r="B582" s="43">
        <v>1</v>
      </c>
      <c r="C582" s="43" t="s">
        <v>23</v>
      </c>
      <c r="D582" s="43" t="s">
        <v>33</v>
      </c>
      <c r="E582" s="43">
        <v>0</v>
      </c>
    </row>
    <row r="583" spans="2:5">
      <c r="B583" s="43">
        <v>1</v>
      </c>
      <c r="C583" s="43" t="s">
        <v>23</v>
      </c>
      <c r="D583" s="43" t="s">
        <v>37</v>
      </c>
      <c r="E583" s="43">
        <v>0</v>
      </c>
    </row>
    <row r="584" spans="2:5">
      <c r="B584" s="43">
        <v>1</v>
      </c>
      <c r="C584" s="43" t="s">
        <v>23</v>
      </c>
      <c r="D584" s="43" t="s">
        <v>32</v>
      </c>
      <c r="E584" s="43">
        <v>0</v>
      </c>
    </row>
    <row r="585" spans="2:5">
      <c r="B585" s="43">
        <v>1</v>
      </c>
      <c r="C585" s="43" t="s">
        <v>23</v>
      </c>
      <c r="D585" s="43" t="s">
        <v>33</v>
      </c>
      <c r="E585" s="43">
        <v>0</v>
      </c>
    </row>
    <row r="586" spans="2:5">
      <c r="B586" s="43">
        <v>1</v>
      </c>
      <c r="C586" s="43" t="s">
        <v>23</v>
      </c>
      <c r="D586" s="43" t="s">
        <v>33</v>
      </c>
      <c r="E586" s="43">
        <v>0</v>
      </c>
    </row>
    <row r="587" spans="2:5">
      <c r="B587" s="43">
        <v>1</v>
      </c>
      <c r="C587" s="43" t="s">
        <v>23</v>
      </c>
      <c r="D587" s="43" t="s">
        <v>33</v>
      </c>
      <c r="E587" s="43">
        <v>0</v>
      </c>
    </row>
    <row r="588" spans="2:5">
      <c r="B588" s="43">
        <v>1</v>
      </c>
      <c r="C588" s="43" t="s">
        <v>23</v>
      </c>
      <c r="D588" s="43" t="s">
        <v>37</v>
      </c>
      <c r="E588" s="43">
        <v>0</v>
      </c>
    </row>
    <row r="589" spans="2:5">
      <c r="B589" s="43">
        <v>1</v>
      </c>
      <c r="C589" s="43" t="s">
        <v>23</v>
      </c>
      <c r="D589" s="43" t="s">
        <v>33</v>
      </c>
      <c r="E589" s="43">
        <v>0</v>
      </c>
    </row>
    <row r="590" spans="2:5">
      <c r="B590" s="43">
        <v>1</v>
      </c>
      <c r="C590" s="43" t="s">
        <v>23</v>
      </c>
      <c r="D590" s="43" t="s">
        <v>32</v>
      </c>
      <c r="E590" s="43">
        <v>0</v>
      </c>
    </row>
    <row r="591" spans="2:5">
      <c r="B591" s="43">
        <v>0</v>
      </c>
      <c r="C591" s="43" t="s">
        <v>23</v>
      </c>
      <c r="D591" s="43" t="s">
        <v>34</v>
      </c>
      <c r="E591" s="43">
        <v>0</v>
      </c>
    </row>
    <row r="592" spans="2:5">
      <c r="B592" s="43">
        <v>0</v>
      </c>
      <c r="C592" s="43" t="s">
        <v>23</v>
      </c>
      <c r="D592" s="43" t="s">
        <v>31</v>
      </c>
      <c r="E592" s="43">
        <v>0</v>
      </c>
    </row>
    <row r="593" spans="2:5">
      <c r="B593" s="43">
        <v>1</v>
      </c>
      <c r="C593" s="43" t="s">
        <v>23</v>
      </c>
      <c r="D593" s="43" t="s">
        <v>31</v>
      </c>
      <c r="E593" s="43">
        <v>0</v>
      </c>
    </row>
    <row r="594" spans="2:5">
      <c r="B594" s="43">
        <v>1</v>
      </c>
      <c r="C594" s="43" t="s">
        <v>23</v>
      </c>
      <c r="D594" s="43" t="s">
        <v>32</v>
      </c>
      <c r="E594" s="43">
        <v>0</v>
      </c>
    </row>
    <row r="595" spans="2:5">
      <c r="B595" s="43">
        <v>1</v>
      </c>
      <c r="C595" s="43" t="s">
        <v>23</v>
      </c>
      <c r="D595" s="43" t="s">
        <v>34</v>
      </c>
      <c r="E595" s="43">
        <v>0</v>
      </c>
    </row>
    <row r="596" spans="2:5">
      <c r="B596" s="43">
        <v>1</v>
      </c>
      <c r="C596" s="43" t="s">
        <v>23</v>
      </c>
      <c r="D596" s="43" t="s">
        <v>34</v>
      </c>
      <c r="E596" s="43">
        <v>0</v>
      </c>
    </row>
    <row r="597" spans="2:5">
      <c r="B597" s="43">
        <v>1</v>
      </c>
      <c r="C597" s="43" t="s">
        <v>23</v>
      </c>
      <c r="D597" s="43" t="s">
        <v>39</v>
      </c>
      <c r="E597" s="43">
        <v>0</v>
      </c>
    </row>
    <row r="598" spans="2:5">
      <c r="B598" s="43">
        <v>1</v>
      </c>
      <c r="C598" s="43" t="s">
        <v>23</v>
      </c>
      <c r="D598" s="43" t="s">
        <v>34</v>
      </c>
      <c r="E598" s="43">
        <v>0</v>
      </c>
    </row>
    <row r="599" spans="2:5">
      <c r="B599" s="43">
        <v>1</v>
      </c>
      <c r="C599" s="43" t="s">
        <v>23</v>
      </c>
      <c r="D599" s="43" t="s">
        <v>34</v>
      </c>
      <c r="E599" s="43">
        <v>0</v>
      </c>
    </row>
    <row r="600" spans="2:5">
      <c r="B600" s="43">
        <v>1</v>
      </c>
      <c r="C600" s="43" t="s">
        <v>23</v>
      </c>
      <c r="D600" s="43" t="s">
        <v>37</v>
      </c>
      <c r="E600" s="43">
        <v>0</v>
      </c>
    </row>
    <row r="601" spans="2:5">
      <c r="B601" s="43">
        <v>1</v>
      </c>
      <c r="C601" s="43" t="s">
        <v>23</v>
      </c>
      <c r="D601" s="43" t="s">
        <v>33</v>
      </c>
      <c r="E601" s="43">
        <v>15</v>
      </c>
    </row>
    <row r="602" spans="2:5">
      <c r="B602" s="43">
        <v>1</v>
      </c>
      <c r="C602" s="43" t="s">
        <v>23</v>
      </c>
      <c r="D602" s="85" t="s">
        <v>42</v>
      </c>
      <c r="E602" s="43">
        <v>0</v>
      </c>
    </row>
    <row r="603" spans="2:5">
      <c r="B603" s="43">
        <v>1</v>
      </c>
      <c r="C603" s="43" t="s">
        <v>23</v>
      </c>
      <c r="D603" s="43" t="s">
        <v>37</v>
      </c>
      <c r="E603" s="43">
        <v>0</v>
      </c>
    </row>
    <row r="604" spans="2:5">
      <c r="B604" s="43">
        <v>1</v>
      </c>
      <c r="C604" s="43" t="s">
        <v>23</v>
      </c>
      <c r="D604" s="43" t="s">
        <v>42</v>
      </c>
      <c r="E604" s="43">
        <v>0</v>
      </c>
    </row>
    <row r="605" spans="2:5">
      <c r="B605" s="43">
        <v>1</v>
      </c>
      <c r="C605" s="43" t="s">
        <v>23</v>
      </c>
      <c r="D605" s="43" t="s">
        <v>33</v>
      </c>
      <c r="E605" s="43">
        <v>0</v>
      </c>
    </row>
    <row r="606" spans="2:5">
      <c r="B606" s="43">
        <v>1</v>
      </c>
      <c r="C606" s="43" t="s">
        <v>23</v>
      </c>
      <c r="D606" s="43" t="s">
        <v>42</v>
      </c>
      <c r="E606" s="43">
        <v>0</v>
      </c>
    </row>
    <row r="607" spans="2:5">
      <c r="B607" s="43">
        <v>1</v>
      </c>
      <c r="C607" s="43" t="s">
        <v>23</v>
      </c>
      <c r="D607" s="43" t="s">
        <v>42</v>
      </c>
      <c r="E607" s="43">
        <v>0</v>
      </c>
    </row>
    <row r="608" spans="2:5">
      <c r="B608" s="43">
        <v>1</v>
      </c>
      <c r="C608" s="43" t="s">
        <v>23</v>
      </c>
      <c r="D608" s="43" t="s">
        <v>33</v>
      </c>
      <c r="E608" s="43">
        <v>0</v>
      </c>
    </row>
    <row r="609" spans="2:5">
      <c r="B609" s="43">
        <v>1</v>
      </c>
      <c r="C609" s="43" t="s">
        <v>23</v>
      </c>
      <c r="D609" s="43" t="s">
        <v>32</v>
      </c>
      <c r="E609" s="43">
        <v>0</v>
      </c>
    </row>
    <row r="610" spans="2:5">
      <c r="B610" s="43">
        <v>1</v>
      </c>
      <c r="C610" s="43" t="s">
        <v>23</v>
      </c>
      <c r="D610" s="43"/>
      <c r="E610" s="43">
        <v>0</v>
      </c>
    </row>
    <row r="611" spans="2:5">
      <c r="B611" s="43">
        <v>1</v>
      </c>
      <c r="C611" s="43" t="s">
        <v>23</v>
      </c>
      <c r="D611" s="43" t="s">
        <v>42</v>
      </c>
      <c r="E611" s="43">
        <v>0</v>
      </c>
    </row>
    <row r="612" spans="2:5">
      <c r="B612" s="43">
        <v>1</v>
      </c>
      <c r="C612" s="43" t="s">
        <v>23</v>
      </c>
      <c r="D612" s="43" t="s">
        <v>42</v>
      </c>
      <c r="E612" s="43">
        <v>0</v>
      </c>
    </row>
    <row r="613" spans="2:5">
      <c r="B613" s="43">
        <v>1</v>
      </c>
      <c r="C613" s="43" t="s">
        <v>23</v>
      </c>
      <c r="D613" s="43" t="s">
        <v>33</v>
      </c>
      <c r="E613" s="43">
        <v>0</v>
      </c>
    </row>
    <row r="614" spans="2:5">
      <c r="B614" s="43">
        <v>0</v>
      </c>
      <c r="C614" s="43" t="s">
        <v>23</v>
      </c>
      <c r="D614" s="43" t="s">
        <v>33</v>
      </c>
      <c r="E614" s="43">
        <v>0</v>
      </c>
    </row>
    <row r="615" spans="2:5">
      <c r="B615" s="43">
        <v>0</v>
      </c>
      <c r="C615" s="43" t="s">
        <v>23</v>
      </c>
      <c r="D615" s="43" t="s">
        <v>33</v>
      </c>
      <c r="E615" s="43">
        <v>0</v>
      </c>
    </row>
    <row r="616" spans="2:5">
      <c r="B616" s="43">
        <v>0</v>
      </c>
      <c r="C616" s="43" t="s">
        <v>23</v>
      </c>
      <c r="D616" s="43" t="s">
        <v>33</v>
      </c>
      <c r="E616" s="43">
        <v>0</v>
      </c>
    </row>
    <row r="617" spans="2:5">
      <c r="B617" s="43">
        <v>1</v>
      </c>
      <c r="C617" s="43" t="s">
        <v>23</v>
      </c>
      <c r="D617" s="43" t="s">
        <v>33</v>
      </c>
      <c r="E617" s="43">
        <v>0</v>
      </c>
    </row>
    <row r="618" spans="2:5">
      <c r="B618" s="43">
        <v>1</v>
      </c>
      <c r="C618" s="43" t="s">
        <v>23</v>
      </c>
      <c r="D618" s="43" t="s">
        <v>33</v>
      </c>
      <c r="E618" s="43">
        <v>0</v>
      </c>
    </row>
    <row r="619" spans="2:5">
      <c r="B619" s="43">
        <v>1</v>
      </c>
      <c r="C619" s="43" t="s">
        <v>23</v>
      </c>
      <c r="D619" s="43" t="s">
        <v>30</v>
      </c>
      <c r="E619" s="43">
        <v>0</v>
      </c>
    </row>
    <row r="620" spans="2:5">
      <c r="B620" s="43">
        <v>0</v>
      </c>
      <c r="C620" s="43" t="s">
        <v>23</v>
      </c>
      <c r="D620" s="43" t="s">
        <v>41</v>
      </c>
      <c r="E620" s="43">
        <v>0</v>
      </c>
    </row>
    <row r="621" spans="2:5">
      <c r="B621" s="43">
        <v>1</v>
      </c>
      <c r="C621" s="43" t="s">
        <v>23</v>
      </c>
      <c r="D621" s="43" t="s">
        <v>32</v>
      </c>
      <c r="E621" s="43">
        <v>0</v>
      </c>
    </row>
    <row r="622" spans="2:5">
      <c r="B622" s="43">
        <v>1</v>
      </c>
      <c r="C622" s="43" t="s">
        <v>23</v>
      </c>
      <c r="D622" s="43" t="s">
        <v>43</v>
      </c>
      <c r="E622" s="43">
        <v>0</v>
      </c>
    </row>
    <row r="623" spans="2:5">
      <c r="B623" s="43">
        <v>1</v>
      </c>
      <c r="C623" s="43" t="s">
        <v>23</v>
      </c>
      <c r="D623" s="43" t="s">
        <v>37</v>
      </c>
      <c r="E623" s="43">
        <v>0</v>
      </c>
    </row>
    <row r="624" spans="2:5">
      <c r="B624" s="43">
        <v>1</v>
      </c>
      <c r="C624" s="43" t="s">
        <v>23</v>
      </c>
      <c r="D624" s="43" t="s">
        <v>32</v>
      </c>
      <c r="E624" s="43">
        <v>0</v>
      </c>
    </row>
    <row r="625" spans="2:5">
      <c r="B625" s="43">
        <v>0</v>
      </c>
      <c r="C625" s="43" t="s">
        <v>23</v>
      </c>
      <c r="D625" s="43" t="s">
        <v>40</v>
      </c>
      <c r="E625" s="43">
        <v>0</v>
      </c>
    </row>
    <row r="626" spans="2:5">
      <c r="B626" s="43">
        <v>0</v>
      </c>
      <c r="C626" s="43" t="s">
        <v>23</v>
      </c>
      <c r="D626" s="43" t="s">
        <v>32</v>
      </c>
      <c r="E626" s="43">
        <v>0</v>
      </c>
    </row>
    <row r="627" spans="2:5">
      <c r="B627" s="43">
        <v>1</v>
      </c>
      <c r="C627" s="43" t="s">
        <v>23</v>
      </c>
      <c r="D627" s="43" t="s">
        <v>42</v>
      </c>
      <c r="E627" s="43">
        <v>0</v>
      </c>
    </row>
    <row r="628" spans="2:5">
      <c r="B628" s="43">
        <v>1</v>
      </c>
      <c r="C628" s="43" t="s">
        <v>23</v>
      </c>
      <c r="D628" s="43"/>
      <c r="E628" s="43">
        <v>0</v>
      </c>
    </row>
    <row r="629" spans="2:5">
      <c r="B629" s="43">
        <v>1</v>
      </c>
      <c r="C629" s="43" t="s">
        <v>23</v>
      </c>
      <c r="D629" s="43" t="s">
        <v>32</v>
      </c>
      <c r="E629" s="43">
        <v>0</v>
      </c>
    </row>
    <row r="630" spans="2:5">
      <c r="B630" s="43">
        <v>1</v>
      </c>
      <c r="C630" s="43" t="s">
        <v>23</v>
      </c>
      <c r="D630" s="43" t="s">
        <v>37</v>
      </c>
      <c r="E630" s="43">
        <v>0</v>
      </c>
    </row>
    <row r="631" spans="2:5">
      <c r="B631" s="43">
        <v>0</v>
      </c>
      <c r="C631" s="43" t="s">
        <v>23</v>
      </c>
      <c r="D631" s="43" t="s">
        <v>37</v>
      </c>
      <c r="E631" s="43">
        <v>0</v>
      </c>
    </row>
    <row r="632" spans="2:5">
      <c r="B632" s="43">
        <v>0</v>
      </c>
      <c r="C632" s="43" t="s">
        <v>23</v>
      </c>
      <c r="D632" s="43" t="s">
        <v>42</v>
      </c>
      <c r="E632" s="43">
        <v>0</v>
      </c>
    </row>
    <row r="633" spans="2:5">
      <c r="B633" s="43">
        <v>1</v>
      </c>
      <c r="C633" s="43" t="s">
        <v>23</v>
      </c>
      <c r="D633" s="43" t="s">
        <v>42</v>
      </c>
      <c r="E633" s="43">
        <v>0</v>
      </c>
    </row>
    <row r="634" spans="2:5">
      <c r="B634" s="43">
        <v>1</v>
      </c>
      <c r="C634" s="43" t="s">
        <v>23</v>
      </c>
      <c r="D634" s="43" t="s">
        <v>33</v>
      </c>
      <c r="E634" s="43">
        <v>0</v>
      </c>
    </row>
    <row r="635" spans="2:5">
      <c r="B635" s="43">
        <v>0</v>
      </c>
      <c r="C635" s="43" t="s">
        <v>23</v>
      </c>
      <c r="D635" s="43" t="s">
        <v>37</v>
      </c>
      <c r="E635" s="43">
        <v>0</v>
      </c>
    </row>
    <row r="636" spans="2:5">
      <c r="B636" s="43">
        <v>1</v>
      </c>
      <c r="C636" s="43" t="s">
        <v>23</v>
      </c>
      <c r="D636" s="43" t="s">
        <v>41</v>
      </c>
      <c r="E636" s="43">
        <v>0</v>
      </c>
    </row>
    <row r="637" spans="2:5">
      <c r="B637" s="43">
        <v>1</v>
      </c>
      <c r="C637" s="43" t="s">
        <v>23</v>
      </c>
      <c r="D637" s="43" t="s">
        <v>33</v>
      </c>
      <c r="E637" s="43">
        <v>0</v>
      </c>
    </row>
    <row r="638" spans="2:5">
      <c r="B638" s="43">
        <v>1</v>
      </c>
      <c r="C638" s="43" t="s">
        <v>23</v>
      </c>
      <c r="D638" s="43" t="s">
        <v>42</v>
      </c>
      <c r="E638" s="43">
        <v>0</v>
      </c>
    </row>
    <row r="639" spans="2:5">
      <c r="B639" s="43">
        <v>1</v>
      </c>
      <c r="C639" s="43" t="s">
        <v>23</v>
      </c>
      <c r="D639" s="43" t="s">
        <v>37</v>
      </c>
      <c r="E639" s="43">
        <v>0</v>
      </c>
    </row>
    <row r="640" spans="2:5">
      <c r="B640" s="43">
        <v>1</v>
      </c>
      <c r="C640" s="43" t="s">
        <v>23</v>
      </c>
      <c r="D640" s="43" t="s">
        <v>41</v>
      </c>
      <c r="E640" s="43">
        <v>0</v>
      </c>
    </row>
    <row r="641" spans="2:5">
      <c r="B641" s="43">
        <v>1</v>
      </c>
      <c r="C641" s="43" t="s">
        <v>23</v>
      </c>
      <c r="D641" s="43" t="s">
        <v>33</v>
      </c>
      <c r="E641" s="43">
        <v>0</v>
      </c>
    </row>
    <row r="642" spans="2:5">
      <c r="B642" s="43">
        <v>1</v>
      </c>
      <c r="C642" s="43" t="s">
        <v>23</v>
      </c>
      <c r="D642" s="43" t="s">
        <v>42</v>
      </c>
      <c r="E642" s="43">
        <v>0</v>
      </c>
    </row>
    <row r="643" spans="2:5">
      <c r="B643" s="43">
        <v>1</v>
      </c>
      <c r="C643" s="43" t="s">
        <v>23</v>
      </c>
      <c r="D643" s="43" t="s">
        <v>40</v>
      </c>
      <c r="E643" s="43">
        <v>0</v>
      </c>
    </row>
    <row r="644" spans="2:5">
      <c r="B644" s="43">
        <v>0</v>
      </c>
      <c r="C644" s="43" t="s">
        <v>23</v>
      </c>
      <c r="D644" s="43" t="s">
        <v>33</v>
      </c>
      <c r="E644" s="43">
        <v>0</v>
      </c>
    </row>
    <row r="645" spans="2:5">
      <c r="B645" s="43">
        <v>0</v>
      </c>
      <c r="C645" s="43" t="s">
        <v>23</v>
      </c>
      <c r="D645" s="43" t="s">
        <v>42</v>
      </c>
      <c r="E645" s="43">
        <v>0</v>
      </c>
    </row>
    <row r="646" spans="2:5">
      <c r="B646" s="43">
        <v>1</v>
      </c>
      <c r="C646" s="43" t="s">
        <v>23</v>
      </c>
      <c r="D646" s="43" t="s">
        <v>46</v>
      </c>
      <c r="E646" s="43">
        <v>0</v>
      </c>
    </row>
    <row r="647" spans="2:5">
      <c r="B647" s="43">
        <v>1</v>
      </c>
      <c r="C647" s="43" t="s">
        <v>24</v>
      </c>
      <c r="D647" s="43" t="s">
        <v>42</v>
      </c>
      <c r="E647" s="43">
        <v>0</v>
      </c>
    </row>
    <row r="648" spans="2:5">
      <c r="B648" s="43">
        <v>1</v>
      </c>
      <c r="C648" s="43" t="s">
        <v>24</v>
      </c>
      <c r="D648" s="43" t="s">
        <v>42</v>
      </c>
      <c r="E648" s="43">
        <v>0</v>
      </c>
    </row>
    <row r="649" spans="2:5">
      <c r="B649" s="43">
        <v>1</v>
      </c>
      <c r="C649" s="43" t="s">
        <v>24</v>
      </c>
      <c r="D649" s="43" t="s">
        <v>33</v>
      </c>
      <c r="E649" s="43">
        <v>1</v>
      </c>
    </row>
    <row r="650" spans="2:5">
      <c r="B650" s="43">
        <v>1</v>
      </c>
      <c r="C650" s="43" t="s">
        <v>24</v>
      </c>
      <c r="D650" s="43" t="s">
        <v>33</v>
      </c>
      <c r="E650" s="43">
        <v>1</v>
      </c>
    </row>
    <row r="651" spans="2:5">
      <c r="B651" s="43">
        <v>1</v>
      </c>
      <c r="C651" s="43" t="s">
        <v>24</v>
      </c>
      <c r="D651" s="43" t="s">
        <v>33</v>
      </c>
      <c r="E651" s="43">
        <v>0</v>
      </c>
    </row>
    <row r="652" spans="2:5">
      <c r="B652" s="43">
        <v>1</v>
      </c>
      <c r="C652" s="43" t="s">
        <v>24</v>
      </c>
      <c r="D652" s="43" t="s">
        <v>42</v>
      </c>
      <c r="E652" s="43">
        <v>2</v>
      </c>
    </row>
    <row r="653" spans="2:5">
      <c r="B653" s="43">
        <v>1</v>
      </c>
      <c r="C653" s="43" t="s">
        <v>24</v>
      </c>
      <c r="D653" s="43" t="s">
        <v>33</v>
      </c>
      <c r="E653" s="43">
        <v>0</v>
      </c>
    </row>
    <row r="654" spans="2:5">
      <c r="B654" s="43">
        <v>1</v>
      </c>
      <c r="C654" s="43" t="s">
        <v>24</v>
      </c>
      <c r="D654" s="43" t="s">
        <v>33</v>
      </c>
      <c r="E654" s="43">
        <v>1</v>
      </c>
    </row>
    <row r="655" spans="2:5">
      <c r="B655" s="43">
        <v>0</v>
      </c>
      <c r="C655" s="43" t="s">
        <v>24</v>
      </c>
      <c r="D655" s="43" t="s">
        <v>45</v>
      </c>
      <c r="E655" s="43">
        <v>8</v>
      </c>
    </row>
    <row r="656" spans="2:5">
      <c r="B656" s="43">
        <v>0</v>
      </c>
      <c r="C656" s="43" t="s">
        <v>24</v>
      </c>
      <c r="D656" s="43" t="s">
        <v>33</v>
      </c>
      <c r="E656" s="43">
        <v>6</v>
      </c>
    </row>
    <row r="657" spans="2:5">
      <c r="B657" s="43">
        <v>0</v>
      </c>
      <c r="C657" s="43" t="s">
        <v>24</v>
      </c>
      <c r="D657" s="43" t="s">
        <v>31</v>
      </c>
      <c r="E657" s="43">
        <v>2</v>
      </c>
    </row>
    <row r="658" spans="2:5">
      <c r="B658" s="43">
        <v>0</v>
      </c>
      <c r="C658" s="43" t="s">
        <v>24</v>
      </c>
      <c r="D658" s="43" t="s">
        <v>33</v>
      </c>
      <c r="E658" s="43">
        <v>2</v>
      </c>
    </row>
    <row r="659" spans="2:5">
      <c r="B659" s="43">
        <v>0</v>
      </c>
      <c r="C659" s="43" t="s">
        <v>24</v>
      </c>
      <c r="D659" s="43" t="s">
        <v>33</v>
      </c>
      <c r="E659" s="43">
        <v>3</v>
      </c>
    </row>
    <row r="660" spans="2:5">
      <c r="B660" s="43">
        <v>1</v>
      </c>
      <c r="C660" s="43" t="s">
        <v>24</v>
      </c>
      <c r="D660" s="43" t="s">
        <v>33</v>
      </c>
      <c r="E660" s="43">
        <v>0</v>
      </c>
    </row>
    <row r="661" spans="2:5">
      <c r="B661" s="43">
        <v>0</v>
      </c>
      <c r="C661" s="43" t="s">
        <v>24</v>
      </c>
      <c r="D661" s="43" t="s">
        <v>37</v>
      </c>
      <c r="E661" s="43">
        <v>0</v>
      </c>
    </row>
    <row r="662" spans="2:5">
      <c r="B662" s="43">
        <v>0</v>
      </c>
      <c r="C662" s="43" t="s">
        <v>24</v>
      </c>
      <c r="D662" s="43" t="s">
        <v>42</v>
      </c>
      <c r="E662" s="43">
        <v>1</v>
      </c>
    </row>
    <row r="663" spans="2:5">
      <c r="B663" s="43">
        <v>0</v>
      </c>
      <c r="C663" s="43" t="s">
        <v>24</v>
      </c>
      <c r="D663" s="43" t="s">
        <v>31</v>
      </c>
      <c r="E663" s="43">
        <v>2</v>
      </c>
    </row>
    <row r="664" spans="2:5">
      <c r="B664" s="43">
        <v>0</v>
      </c>
      <c r="C664" s="43" t="s">
        <v>24</v>
      </c>
      <c r="D664" s="43" t="s">
        <v>31</v>
      </c>
      <c r="E664" s="43">
        <v>0</v>
      </c>
    </row>
    <row r="665" spans="2:5">
      <c r="B665" s="43">
        <v>0</v>
      </c>
      <c r="C665" s="43" t="s">
        <v>24</v>
      </c>
      <c r="D665" s="43" t="s">
        <v>37</v>
      </c>
      <c r="E665" s="43">
        <v>0</v>
      </c>
    </row>
    <row r="666" spans="2:5">
      <c r="B666" s="43">
        <v>0</v>
      </c>
      <c r="C666" s="43" t="s">
        <v>25</v>
      </c>
      <c r="D666" s="43" t="s">
        <v>32</v>
      </c>
      <c r="E666" s="43">
        <v>0</v>
      </c>
    </row>
    <row r="667" spans="2:5">
      <c r="B667" s="43">
        <v>0</v>
      </c>
      <c r="C667" s="43" t="s">
        <v>25</v>
      </c>
      <c r="D667" s="43" t="s">
        <v>43</v>
      </c>
      <c r="E667" s="43">
        <v>0</v>
      </c>
    </row>
    <row r="668" spans="2:5">
      <c r="B668" s="43">
        <v>0</v>
      </c>
      <c r="C668" s="43" t="s">
        <v>25</v>
      </c>
      <c r="D668" s="43" t="s">
        <v>33</v>
      </c>
      <c r="E668" s="43">
        <v>0</v>
      </c>
    </row>
    <row r="669" spans="2:5">
      <c r="B669" s="43">
        <v>1</v>
      </c>
      <c r="C669" s="43" t="s">
        <v>25</v>
      </c>
      <c r="D669" s="43" t="s">
        <v>37</v>
      </c>
      <c r="E669" s="43">
        <v>0</v>
      </c>
    </row>
    <row r="670" spans="2:5">
      <c r="B670" s="43">
        <v>1</v>
      </c>
      <c r="C670" s="43" t="s">
        <v>25</v>
      </c>
      <c r="D670" s="43" t="s">
        <v>33</v>
      </c>
      <c r="E670" s="43">
        <v>0</v>
      </c>
    </row>
  </sheetData>
  <sheetProtection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5284-6E85-4578-94D7-CE6828B75CA7}">
  <sheetPr>
    <tabColor rgb="FF8C1232"/>
  </sheetPr>
  <dimension ref="A1:X390"/>
  <sheetViews>
    <sheetView showGridLines="0" topLeftCell="L1" zoomScale="119" zoomScaleNormal="100" workbookViewId="0">
      <pane ySplit="1" topLeftCell="A2" activePane="bottomLeft" state="frozen"/>
      <selection activeCell="M1" sqref="M1"/>
      <selection pane="bottomLeft" activeCell="M1" sqref="M1"/>
    </sheetView>
  </sheetViews>
  <sheetFormatPr baseColWidth="10" defaultColWidth="8.6640625" defaultRowHeight="14"/>
  <cols>
    <col min="1" max="1" width="14" style="9" customWidth="1"/>
    <col min="2" max="2" width="18.1640625" style="4" bestFit="1" customWidth="1"/>
    <col min="3" max="3" width="41.6640625" style="9" customWidth="1"/>
    <col min="4" max="4" width="10" style="9" customWidth="1"/>
    <col min="5" max="5" width="10" style="9" hidden="1" customWidth="1"/>
    <col min="6" max="6" width="21" style="9" customWidth="1"/>
    <col min="7" max="7" width="10" style="9" customWidth="1"/>
    <col min="8" max="8" width="16.33203125" style="9" hidden="1" customWidth="1"/>
    <col min="9" max="9" width="16.6640625" style="9" customWidth="1"/>
    <col min="10" max="10" width="16.1640625" style="9" bestFit="1" customWidth="1"/>
    <col min="11" max="11" width="15.33203125" style="9" bestFit="1" customWidth="1"/>
    <col min="12" max="12" width="32.1640625" style="9" bestFit="1" customWidth="1"/>
    <col min="13" max="13" width="5.33203125" style="9" customWidth="1"/>
    <col min="14" max="22" width="9.1640625" style="17" customWidth="1"/>
    <col min="23" max="23" width="6.33203125" style="17" customWidth="1"/>
    <col min="24" max="24" width="6.6640625" style="9" customWidth="1"/>
    <col min="25" max="16384" width="8.6640625" style="3"/>
  </cols>
  <sheetData>
    <row r="1" spans="1:24" s="5" customFormat="1" ht="70">
      <c r="A1" s="11" t="s">
        <v>51</v>
      </c>
      <c r="B1" s="11" t="s">
        <v>52</v>
      </c>
      <c r="C1" s="11" t="s">
        <v>53</v>
      </c>
      <c r="D1" s="11" t="s">
        <v>1</v>
      </c>
      <c r="E1" s="11" t="s">
        <v>54</v>
      </c>
      <c r="F1" s="11" t="s">
        <v>6</v>
      </c>
      <c r="G1" s="11" t="s">
        <v>55</v>
      </c>
      <c r="H1" s="11" t="s">
        <v>56</v>
      </c>
      <c r="I1" s="11" t="s">
        <v>57</v>
      </c>
      <c r="J1" s="11" t="s">
        <v>58</v>
      </c>
      <c r="K1" s="12" t="s">
        <v>59</v>
      </c>
      <c r="L1" s="12" t="s">
        <v>60</v>
      </c>
      <c r="M1" s="68" t="s">
        <v>61</v>
      </c>
      <c r="N1" s="68" t="s">
        <v>62</v>
      </c>
      <c r="O1" s="68" t="s">
        <v>63</v>
      </c>
      <c r="P1" s="68" t="s">
        <v>64</v>
      </c>
      <c r="Q1" s="68" t="s">
        <v>65</v>
      </c>
      <c r="R1" s="68" t="s">
        <v>66</v>
      </c>
      <c r="S1" s="68" t="s">
        <v>67</v>
      </c>
      <c r="T1" s="68" t="s">
        <v>68</v>
      </c>
      <c r="U1" s="68" t="s">
        <v>69</v>
      </c>
      <c r="V1" s="68" t="s">
        <v>70</v>
      </c>
      <c r="W1" s="68" t="s">
        <v>71</v>
      </c>
      <c r="X1" s="69" t="s">
        <v>72</v>
      </c>
    </row>
    <row r="2" spans="1:24">
      <c r="A2" s="10" t="s">
        <v>73</v>
      </c>
      <c r="B2" s="10" t="s">
        <v>74</v>
      </c>
      <c r="C2" s="13" t="s">
        <v>75</v>
      </c>
      <c r="D2" s="10" t="s">
        <v>14</v>
      </c>
      <c r="E2" s="10" t="s">
        <v>76</v>
      </c>
      <c r="F2" s="13" t="s">
        <v>31</v>
      </c>
      <c r="G2" s="10" t="s">
        <v>8</v>
      </c>
      <c r="H2" s="10" t="s">
        <v>77</v>
      </c>
      <c r="I2" s="10" t="s">
        <v>78</v>
      </c>
      <c r="J2" s="14" t="s">
        <v>79</v>
      </c>
      <c r="K2" s="15" t="s">
        <v>80</v>
      </c>
      <c r="L2" s="14" t="s">
        <v>81</v>
      </c>
      <c r="M2" s="72" t="s">
        <v>82</v>
      </c>
      <c r="N2" s="70">
        <v>1</v>
      </c>
      <c r="O2" s="70">
        <v>0</v>
      </c>
      <c r="P2" s="70">
        <v>0</v>
      </c>
      <c r="Q2" s="70">
        <v>0</v>
      </c>
      <c r="R2" s="70">
        <v>0</v>
      </c>
      <c r="S2" s="70">
        <v>1</v>
      </c>
      <c r="T2" s="70">
        <v>1</v>
      </c>
      <c r="U2" s="70">
        <v>1</v>
      </c>
      <c r="V2" s="70">
        <v>0</v>
      </c>
      <c r="W2" s="71" t="s">
        <v>83</v>
      </c>
      <c r="X2" s="72">
        <v>0</v>
      </c>
    </row>
    <row r="3" spans="1:24">
      <c r="A3" s="10" t="s">
        <v>84</v>
      </c>
      <c r="B3" s="10" t="s">
        <v>74</v>
      </c>
      <c r="C3" s="13" t="s">
        <v>85</v>
      </c>
      <c r="D3" s="10" t="s">
        <v>14</v>
      </c>
      <c r="E3" s="10" t="s">
        <v>76</v>
      </c>
      <c r="F3" s="13" t="s">
        <v>31</v>
      </c>
      <c r="G3" s="10" t="s">
        <v>7</v>
      </c>
      <c r="H3" s="10" t="s">
        <v>77</v>
      </c>
      <c r="I3" s="10" t="s">
        <v>78</v>
      </c>
      <c r="J3" s="14" t="s">
        <v>79</v>
      </c>
      <c r="K3" s="15" t="s">
        <v>86</v>
      </c>
      <c r="L3" s="14" t="s">
        <v>87</v>
      </c>
      <c r="M3" s="72" t="s">
        <v>82</v>
      </c>
      <c r="N3" s="70">
        <v>1</v>
      </c>
      <c r="O3" s="70">
        <v>2</v>
      </c>
      <c r="P3" s="70">
        <v>0</v>
      </c>
      <c r="Q3" s="70">
        <v>1</v>
      </c>
      <c r="R3" s="70">
        <v>0</v>
      </c>
      <c r="S3" s="70">
        <v>3</v>
      </c>
      <c r="T3" s="70">
        <v>0</v>
      </c>
      <c r="U3" s="70">
        <v>2</v>
      </c>
      <c r="V3" s="70">
        <v>0</v>
      </c>
      <c r="W3" s="71" t="s">
        <v>83</v>
      </c>
      <c r="X3" s="72">
        <v>0</v>
      </c>
    </row>
    <row r="4" spans="1:24">
      <c r="A4" s="10" t="s">
        <v>88</v>
      </c>
      <c r="B4" s="10" t="s">
        <v>74</v>
      </c>
      <c r="C4" s="13" t="s">
        <v>89</v>
      </c>
      <c r="D4" s="10" t="s">
        <v>14</v>
      </c>
      <c r="E4" s="10" t="s">
        <v>76</v>
      </c>
      <c r="F4" s="13" t="s">
        <v>33</v>
      </c>
      <c r="G4" s="10" t="s">
        <v>8</v>
      </c>
      <c r="H4" s="10" t="s">
        <v>90</v>
      </c>
      <c r="I4" s="10" t="s">
        <v>78</v>
      </c>
      <c r="J4" s="14" t="s">
        <v>79</v>
      </c>
      <c r="K4" s="15" t="s">
        <v>80</v>
      </c>
      <c r="L4" s="14" t="s">
        <v>81</v>
      </c>
      <c r="M4" s="72" t="s">
        <v>82</v>
      </c>
      <c r="N4" s="70">
        <v>1</v>
      </c>
      <c r="O4" s="70">
        <v>0</v>
      </c>
      <c r="P4" s="70">
        <v>0</v>
      </c>
      <c r="Q4" s="70">
        <v>0</v>
      </c>
      <c r="R4" s="70">
        <v>0</v>
      </c>
      <c r="S4" s="70">
        <v>1</v>
      </c>
      <c r="T4" s="70">
        <v>1</v>
      </c>
      <c r="U4" s="70">
        <v>0</v>
      </c>
      <c r="V4" s="70">
        <v>0</v>
      </c>
      <c r="W4" s="71" t="s">
        <v>83</v>
      </c>
      <c r="X4" s="72">
        <v>0</v>
      </c>
    </row>
    <row r="5" spans="1:24">
      <c r="A5" s="10" t="s">
        <v>91</v>
      </c>
      <c r="B5" s="10" t="s">
        <v>74</v>
      </c>
      <c r="C5" s="13" t="s">
        <v>92</v>
      </c>
      <c r="D5" s="10" t="s">
        <v>14</v>
      </c>
      <c r="E5" s="10" t="s">
        <v>76</v>
      </c>
      <c r="F5" s="13" t="s">
        <v>33</v>
      </c>
      <c r="G5" s="10" t="s">
        <v>8</v>
      </c>
      <c r="H5" s="10" t="s">
        <v>90</v>
      </c>
      <c r="I5" s="10" t="s">
        <v>78</v>
      </c>
      <c r="J5" s="14" t="s">
        <v>79</v>
      </c>
      <c r="K5" s="15" t="s">
        <v>86</v>
      </c>
      <c r="L5" s="14" t="s">
        <v>87</v>
      </c>
      <c r="M5" s="72" t="s">
        <v>82</v>
      </c>
      <c r="N5" s="70">
        <v>1</v>
      </c>
      <c r="O5" s="70">
        <v>5</v>
      </c>
      <c r="P5" s="70">
        <v>4</v>
      </c>
      <c r="Q5" s="70">
        <v>5</v>
      </c>
      <c r="R5" s="70">
        <v>0</v>
      </c>
      <c r="S5" s="70">
        <v>6</v>
      </c>
      <c r="T5" s="70">
        <v>5</v>
      </c>
      <c r="U5" s="70">
        <v>5</v>
      </c>
      <c r="V5" s="70">
        <v>0</v>
      </c>
      <c r="W5" s="71" t="s">
        <v>83</v>
      </c>
      <c r="X5" s="72">
        <v>0</v>
      </c>
    </row>
    <row r="6" spans="1:24">
      <c r="A6" s="10" t="s">
        <v>93</v>
      </c>
      <c r="B6" s="10" t="s">
        <v>74</v>
      </c>
      <c r="C6" s="13" t="s">
        <v>94</v>
      </c>
      <c r="D6" s="10" t="s">
        <v>14</v>
      </c>
      <c r="E6" s="10" t="s">
        <v>76</v>
      </c>
      <c r="F6" s="13" t="s">
        <v>31</v>
      </c>
      <c r="G6" s="10" t="s">
        <v>8</v>
      </c>
      <c r="H6" s="10" t="s">
        <v>90</v>
      </c>
      <c r="I6" s="10" t="s">
        <v>78</v>
      </c>
      <c r="J6" s="14" t="s">
        <v>79</v>
      </c>
      <c r="K6" s="15" t="s">
        <v>80</v>
      </c>
      <c r="L6" s="14" t="s">
        <v>81</v>
      </c>
      <c r="M6" s="72" t="s">
        <v>82</v>
      </c>
      <c r="N6" s="70">
        <v>1</v>
      </c>
      <c r="O6" s="70">
        <v>0</v>
      </c>
      <c r="P6" s="70">
        <v>0</v>
      </c>
      <c r="Q6" s="70">
        <v>0</v>
      </c>
      <c r="R6" s="70">
        <v>0</v>
      </c>
      <c r="S6" s="70">
        <v>1</v>
      </c>
      <c r="T6" s="70">
        <v>1</v>
      </c>
      <c r="U6" s="70">
        <v>0</v>
      </c>
      <c r="V6" s="70">
        <v>0</v>
      </c>
      <c r="W6" s="71" t="s">
        <v>83</v>
      </c>
      <c r="X6" s="72">
        <v>0</v>
      </c>
    </row>
    <row r="7" spans="1:24">
      <c r="A7" s="10" t="s">
        <v>95</v>
      </c>
      <c r="B7" s="10" t="s">
        <v>74</v>
      </c>
      <c r="C7" s="13" t="s">
        <v>96</v>
      </c>
      <c r="D7" s="10" t="s">
        <v>14</v>
      </c>
      <c r="E7" s="10" t="s">
        <v>76</v>
      </c>
      <c r="F7" s="13" t="s">
        <v>31</v>
      </c>
      <c r="G7" s="10" t="s">
        <v>8</v>
      </c>
      <c r="H7" s="10" t="s">
        <v>77</v>
      </c>
      <c r="I7" s="10" t="s">
        <v>78</v>
      </c>
      <c r="J7" s="14" t="s">
        <v>79</v>
      </c>
      <c r="K7" s="15" t="s">
        <v>80</v>
      </c>
      <c r="L7" s="14" t="s">
        <v>81</v>
      </c>
      <c r="M7" s="72" t="s">
        <v>82</v>
      </c>
      <c r="N7" s="70">
        <v>1</v>
      </c>
      <c r="O7" s="70">
        <v>0</v>
      </c>
      <c r="P7" s="70">
        <v>0</v>
      </c>
      <c r="Q7" s="70">
        <v>0</v>
      </c>
      <c r="R7" s="70">
        <v>0</v>
      </c>
      <c r="S7" s="70">
        <v>1</v>
      </c>
      <c r="T7" s="70">
        <v>1</v>
      </c>
      <c r="U7" s="70">
        <v>1</v>
      </c>
      <c r="V7" s="70">
        <v>0</v>
      </c>
      <c r="W7" s="71" t="s">
        <v>83</v>
      </c>
      <c r="X7" s="72">
        <v>0</v>
      </c>
    </row>
    <row r="8" spans="1:24">
      <c r="A8" s="10" t="s">
        <v>97</v>
      </c>
      <c r="B8" s="10" t="s">
        <v>98</v>
      </c>
      <c r="C8" s="13" t="s">
        <v>99</v>
      </c>
      <c r="D8" s="10" t="s">
        <v>14</v>
      </c>
      <c r="E8" s="10" t="s">
        <v>76</v>
      </c>
      <c r="F8" s="13" t="s">
        <v>33</v>
      </c>
      <c r="G8" s="10" t="s">
        <v>7</v>
      </c>
      <c r="H8" s="10" t="s">
        <v>77</v>
      </c>
      <c r="I8" s="10" t="s">
        <v>78</v>
      </c>
      <c r="J8" s="14" t="s">
        <v>79</v>
      </c>
      <c r="K8" s="15" t="s">
        <v>80</v>
      </c>
      <c r="L8" s="14" t="s">
        <v>81</v>
      </c>
      <c r="M8" s="72" t="s">
        <v>82</v>
      </c>
      <c r="N8" s="70">
        <v>1</v>
      </c>
      <c r="O8" s="70">
        <v>1</v>
      </c>
      <c r="P8" s="70">
        <v>0</v>
      </c>
      <c r="Q8" s="70">
        <v>0</v>
      </c>
      <c r="R8" s="70">
        <v>0</v>
      </c>
      <c r="S8" s="70">
        <v>2</v>
      </c>
      <c r="T8" s="70">
        <v>0</v>
      </c>
      <c r="U8" s="70">
        <v>1</v>
      </c>
      <c r="V8" s="70">
        <v>0</v>
      </c>
      <c r="W8" s="71" t="s">
        <v>83</v>
      </c>
      <c r="X8" s="72">
        <v>0</v>
      </c>
    </row>
    <row r="9" spans="1:24">
      <c r="A9" s="10" t="s">
        <v>100</v>
      </c>
      <c r="B9" s="10" t="s">
        <v>98</v>
      </c>
      <c r="C9" s="13" t="s">
        <v>101</v>
      </c>
      <c r="D9" s="10" t="s">
        <v>14</v>
      </c>
      <c r="E9" s="10" t="s">
        <v>76</v>
      </c>
      <c r="F9" s="13" t="s">
        <v>33</v>
      </c>
      <c r="G9" s="10" t="s">
        <v>7</v>
      </c>
      <c r="H9" s="10" t="s">
        <v>90</v>
      </c>
      <c r="I9" s="10" t="s">
        <v>78</v>
      </c>
      <c r="J9" s="14" t="s">
        <v>79</v>
      </c>
      <c r="K9" s="15" t="s">
        <v>80</v>
      </c>
      <c r="L9" s="14" t="s">
        <v>81</v>
      </c>
      <c r="M9" s="72" t="s">
        <v>82</v>
      </c>
      <c r="N9" s="70">
        <v>1</v>
      </c>
      <c r="O9" s="70">
        <v>2</v>
      </c>
      <c r="P9" s="70">
        <v>0</v>
      </c>
      <c r="Q9" s="70">
        <v>0</v>
      </c>
      <c r="R9" s="70">
        <v>1</v>
      </c>
      <c r="S9" s="70">
        <v>3</v>
      </c>
      <c r="T9" s="70">
        <v>0</v>
      </c>
      <c r="U9" s="70">
        <v>0</v>
      </c>
      <c r="V9" s="70">
        <v>1</v>
      </c>
      <c r="W9" s="71" t="s">
        <v>83</v>
      </c>
      <c r="X9" s="72">
        <v>0</v>
      </c>
    </row>
    <row r="10" spans="1:24">
      <c r="A10" s="10" t="s">
        <v>102</v>
      </c>
      <c r="B10" s="10" t="s">
        <v>98</v>
      </c>
      <c r="C10" s="13" t="s">
        <v>103</v>
      </c>
      <c r="D10" s="10" t="s">
        <v>14</v>
      </c>
      <c r="E10" s="10" t="s">
        <v>76</v>
      </c>
      <c r="F10" s="13" t="s">
        <v>31</v>
      </c>
      <c r="G10" s="10" t="s">
        <v>8</v>
      </c>
      <c r="H10" s="10" t="s">
        <v>90</v>
      </c>
      <c r="I10" s="10" t="s">
        <v>78</v>
      </c>
      <c r="J10" s="14" t="s">
        <v>79</v>
      </c>
      <c r="K10" s="15" t="s">
        <v>86</v>
      </c>
      <c r="L10" s="14" t="s">
        <v>87</v>
      </c>
      <c r="M10" s="72" t="s">
        <v>82</v>
      </c>
      <c r="N10" s="70">
        <v>1</v>
      </c>
      <c r="O10" s="70">
        <v>0</v>
      </c>
      <c r="P10" s="70">
        <v>0</v>
      </c>
      <c r="Q10" s="70">
        <v>0</v>
      </c>
      <c r="R10" s="70">
        <v>0</v>
      </c>
      <c r="S10" s="70">
        <v>1</v>
      </c>
      <c r="T10" s="70">
        <v>1</v>
      </c>
      <c r="U10" s="70">
        <v>0</v>
      </c>
      <c r="V10" s="70">
        <v>0</v>
      </c>
      <c r="W10" s="71" t="s">
        <v>83</v>
      </c>
      <c r="X10" s="72">
        <v>0</v>
      </c>
    </row>
    <row r="11" spans="1:24">
      <c r="A11" s="10" t="s">
        <v>104</v>
      </c>
      <c r="B11" s="10" t="s">
        <v>105</v>
      </c>
      <c r="C11" s="13" t="s">
        <v>106</v>
      </c>
      <c r="D11" s="10" t="s">
        <v>16</v>
      </c>
      <c r="E11" s="10" t="s">
        <v>76</v>
      </c>
      <c r="F11" s="13" t="s">
        <v>33</v>
      </c>
      <c r="G11" s="10" t="s">
        <v>7</v>
      </c>
      <c r="H11" s="10" t="s">
        <v>77</v>
      </c>
      <c r="I11" s="10" t="s">
        <v>78</v>
      </c>
      <c r="J11" s="14" t="s">
        <v>79</v>
      </c>
      <c r="K11" s="15" t="s">
        <v>80</v>
      </c>
      <c r="L11" s="14" t="s">
        <v>81</v>
      </c>
      <c r="M11" s="72" t="s">
        <v>82</v>
      </c>
      <c r="N11" s="70">
        <v>1</v>
      </c>
      <c r="O11" s="70">
        <v>9</v>
      </c>
      <c r="P11" s="70">
        <v>7</v>
      </c>
      <c r="Q11" s="70">
        <v>2</v>
      </c>
      <c r="R11" s="70">
        <v>0</v>
      </c>
      <c r="S11" s="70">
        <v>10</v>
      </c>
      <c r="T11" s="70">
        <v>7</v>
      </c>
      <c r="U11" s="70">
        <v>3</v>
      </c>
      <c r="V11" s="70">
        <v>0</v>
      </c>
      <c r="W11" s="71" t="s">
        <v>83</v>
      </c>
      <c r="X11" s="72">
        <v>0</v>
      </c>
    </row>
    <row r="12" spans="1:24">
      <c r="A12" s="10" t="s">
        <v>107</v>
      </c>
      <c r="B12" s="10" t="s">
        <v>108</v>
      </c>
      <c r="C12" s="13" t="s">
        <v>109</v>
      </c>
      <c r="D12" s="10" t="s">
        <v>16</v>
      </c>
      <c r="E12" s="10" t="s">
        <v>76</v>
      </c>
      <c r="F12" s="13" t="s">
        <v>31</v>
      </c>
      <c r="G12" s="10" t="s">
        <v>7</v>
      </c>
      <c r="H12" s="10" t="s">
        <v>77</v>
      </c>
      <c r="I12" s="10" t="s">
        <v>78</v>
      </c>
      <c r="J12" s="14" t="s">
        <v>79</v>
      </c>
      <c r="K12" s="15" t="s">
        <v>80</v>
      </c>
      <c r="L12" s="14" t="s">
        <v>81</v>
      </c>
      <c r="M12" s="72" t="s">
        <v>82</v>
      </c>
      <c r="N12" s="70">
        <v>1</v>
      </c>
      <c r="O12" s="70">
        <v>3</v>
      </c>
      <c r="P12" s="70">
        <v>1</v>
      </c>
      <c r="Q12" s="70">
        <v>2</v>
      </c>
      <c r="R12" s="70">
        <v>0</v>
      </c>
      <c r="S12" s="70">
        <v>4</v>
      </c>
      <c r="T12" s="70">
        <v>1</v>
      </c>
      <c r="U12" s="70">
        <v>3</v>
      </c>
      <c r="V12" s="70">
        <v>0</v>
      </c>
      <c r="W12" s="71" t="s">
        <v>83</v>
      </c>
      <c r="X12" s="72">
        <v>0</v>
      </c>
    </row>
    <row r="13" spans="1:24">
      <c r="A13" s="10" t="s">
        <v>110</v>
      </c>
      <c r="B13" s="10" t="s">
        <v>108</v>
      </c>
      <c r="C13" s="13" t="s">
        <v>111</v>
      </c>
      <c r="D13" s="10" t="s">
        <v>16</v>
      </c>
      <c r="E13" s="10" t="s">
        <v>76</v>
      </c>
      <c r="F13" s="13" t="s">
        <v>37</v>
      </c>
      <c r="G13" s="10" t="s">
        <v>8</v>
      </c>
      <c r="H13" s="10" t="s">
        <v>77</v>
      </c>
      <c r="I13" s="10" t="s">
        <v>78</v>
      </c>
      <c r="J13" s="14" t="s">
        <v>79</v>
      </c>
      <c r="K13" s="15" t="s">
        <v>80</v>
      </c>
      <c r="L13" s="14" t="s">
        <v>81</v>
      </c>
      <c r="M13" s="72" t="s">
        <v>82</v>
      </c>
      <c r="N13" s="70">
        <v>1</v>
      </c>
      <c r="O13" s="70">
        <v>2</v>
      </c>
      <c r="P13" s="70">
        <v>2</v>
      </c>
      <c r="Q13" s="70">
        <v>0</v>
      </c>
      <c r="R13" s="70">
        <v>0</v>
      </c>
      <c r="S13" s="70">
        <v>3</v>
      </c>
      <c r="T13" s="70">
        <v>3</v>
      </c>
      <c r="U13" s="70">
        <v>1</v>
      </c>
      <c r="V13" s="70">
        <v>0</v>
      </c>
      <c r="W13" s="71" t="s">
        <v>83</v>
      </c>
      <c r="X13" s="72">
        <v>0</v>
      </c>
    </row>
    <row r="14" spans="1:24">
      <c r="A14" s="10" t="s">
        <v>112</v>
      </c>
      <c r="B14" s="10" t="s">
        <v>108</v>
      </c>
      <c r="C14" s="13" t="s">
        <v>113</v>
      </c>
      <c r="D14" s="10" t="s">
        <v>16</v>
      </c>
      <c r="E14" s="10" t="s">
        <v>76</v>
      </c>
      <c r="F14" s="13" t="s">
        <v>41</v>
      </c>
      <c r="G14" s="10" t="s">
        <v>8</v>
      </c>
      <c r="H14" s="10" t="s">
        <v>77</v>
      </c>
      <c r="I14" s="10" t="s">
        <v>78</v>
      </c>
      <c r="J14" s="14" t="s">
        <v>79</v>
      </c>
      <c r="K14" s="15" t="s">
        <v>86</v>
      </c>
      <c r="L14" s="14" t="s">
        <v>87</v>
      </c>
      <c r="M14" s="72" t="s">
        <v>82</v>
      </c>
      <c r="N14" s="70">
        <v>1</v>
      </c>
      <c r="O14" s="70">
        <v>2</v>
      </c>
      <c r="P14" s="70">
        <v>2</v>
      </c>
      <c r="Q14" s="70">
        <v>0</v>
      </c>
      <c r="R14" s="70">
        <v>0</v>
      </c>
      <c r="S14" s="70">
        <v>3</v>
      </c>
      <c r="T14" s="70">
        <v>3</v>
      </c>
      <c r="U14" s="70">
        <v>1</v>
      </c>
      <c r="V14" s="70">
        <v>0</v>
      </c>
      <c r="W14" s="71" t="s">
        <v>83</v>
      </c>
      <c r="X14" s="72">
        <v>0</v>
      </c>
    </row>
    <row r="15" spans="1:24">
      <c r="A15" s="10" t="s">
        <v>114</v>
      </c>
      <c r="B15" s="10" t="s">
        <v>108</v>
      </c>
      <c r="C15" s="13" t="s">
        <v>115</v>
      </c>
      <c r="D15" s="10" t="s">
        <v>16</v>
      </c>
      <c r="E15" s="10" t="s">
        <v>76</v>
      </c>
      <c r="F15" s="13" t="s">
        <v>42</v>
      </c>
      <c r="G15" s="10" t="s">
        <v>8</v>
      </c>
      <c r="H15" s="10" t="s">
        <v>77</v>
      </c>
      <c r="I15" s="10" t="s">
        <v>78</v>
      </c>
      <c r="J15" s="14" t="s">
        <v>79</v>
      </c>
      <c r="K15" s="15" t="s">
        <v>80</v>
      </c>
      <c r="L15" s="14" t="s">
        <v>81</v>
      </c>
      <c r="M15" s="72" t="s">
        <v>82</v>
      </c>
      <c r="N15" s="70">
        <v>1</v>
      </c>
      <c r="O15" s="70">
        <v>14</v>
      </c>
      <c r="P15" s="70">
        <v>8</v>
      </c>
      <c r="Q15" s="70">
        <v>5</v>
      </c>
      <c r="R15" s="70">
        <v>0</v>
      </c>
      <c r="S15" s="70">
        <v>15</v>
      </c>
      <c r="T15" s="70">
        <v>9</v>
      </c>
      <c r="U15" s="70">
        <v>6</v>
      </c>
      <c r="V15" s="70">
        <v>0</v>
      </c>
      <c r="W15" s="71" t="s">
        <v>83</v>
      </c>
      <c r="X15" s="72">
        <v>0</v>
      </c>
    </row>
    <row r="16" spans="1:24">
      <c r="A16" s="10" t="s">
        <v>116</v>
      </c>
      <c r="B16" s="10" t="s">
        <v>108</v>
      </c>
      <c r="C16" s="13" t="s">
        <v>117</v>
      </c>
      <c r="D16" s="10" t="s">
        <v>16</v>
      </c>
      <c r="E16" s="10" t="s">
        <v>76</v>
      </c>
      <c r="F16" s="13" t="s">
        <v>31</v>
      </c>
      <c r="G16" s="10" t="s">
        <v>7</v>
      </c>
      <c r="H16" s="10" t="s">
        <v>77</v>
      </c>
      <c r="I16" s="10" t="s">
        <v>78</v>
      </c>
      <c r="J16" s="14" t="s">
        <v>79</v>
      </c>
      <c r="K16" s="15" t="s">
        <v>80</v>
      </c>
      <c r="L16" s="14" t="s">
        <v>81</v>
      </c>
      <c r="M16" s="72" t="s">
        <v>82</v>
      </c>
      <c r="N16" s="70">
        <v>1</v>
      </c>
      <c r="O16" s="70">
        <v>2</v>
      </c>
      <c r="P16" s="70">
        <v>1</v>
      </c>
      <c r="Q16" s="70">
        <v>0</v>
      </c>
      <c r="R16" s="70">
        <v>0</v>
      </c>
      <c r="S16" s="70">
        <v>3</v>
      </c>
      <c r="T16" s="70">
        <v>1</v>
      </c>
      <c r="U16" s="70">
        <v>1</v>
      </c>
      <c r="V16" s="70">
        <v>0</v>
      </c>
      <c r="W16" s="71" t="s">
        <v>83</v>
      </c>
      <c r="X16" s="72">
        <v>0</v>
      </c>
    </row>
    <row r="17" spans="1:24">
      <c r="A17" s="10" t="s">
        <v>118</v>
      </c>
      <c r="B17" s="10" t="s">
        <v>108</v>
      </c>
      <c r="C17" s="13" t="s">
        <v>119</v>
      </c>
      <c r="D17" s="10" t="s">
        <v>16</v>
      </c>
      <c r="E17" s="10" t="s">
        <v>76</v>
      </c>
      <c r="F17" s="13" t="s">
        <v>41</v>
      </c>
      <c r="G17" s="10" t="s">
        <v>7</v>
      </c>
      <c r="H17" s="10" t="s">
        <v>77</v>
      </c>
      <c r="I17" s="10" t="s">
        <v>78</v>
      </c>
      <c r="J17" s="14" t="s">
        <v>79</v>
      </c>
      <c r="K17" s="15" t="s">
        <v>86</v>
      </c>
      <c r="L17" s="14" t="s">
        <v>87</v>
      </c>
      <c r="M17" s="72" t="s">
        <v>82</v>
      </c>
      <c r="N17" s="70">
        <v>1</v>
      </c>
      <c r="O17" s="70">
        <v>0</v>
      </c>
      <c r="P17" s="70">
        <v>0</v>
      </c>
      <c r="Q17" s="70">
        <v>0</v>
      </c>
      <c r="R17" s="70">
        <v>0</v>
      </c>
      <c r="S17" s="70">
        <v>1</v>
      </c>
      <c r="T17" s="70">
        <v>0</v>
      </c>
      <c r="U17" s="70">
        <v>1</v>
      </c>
      <c r="V17" s="70">
        <v>0</v>
      </c>
      <c r="W17" s="71" t="s">
        <v>83</v>
      </c>
      <c r="X17" s="72">
        <v>0</v>
      </c>
    </row>
    <row r="18" spans="1:24">
      <c r="A18" s="10" t="s">
        <v>120</v>
      </c>
      <c r="B18" s="10" t="s">
        <v>108</v>
      </c>
      <c r="C18" s="13" t="s">
        <v>121</v>
      </c>
      <c r="D18" s="10" t="s">
        <v>16</v>
      </c>
      <c r="E18" s="10" t="s">
        <v>76</v>
      </c>
      <c r="F18" s="13" t="s">
        <v>37</v>
      </c>
      <c r="G18" s="10" t="s">
        <v>8</v>
      </c>
      <c r="H18" s="10" t="s">
        <v>77</v>
      </c>
      <c r="I18" s="10" t="s">
        <v>78</v>
      </c>
      <c r="J18" s="14" t="s">
        <v>79</v>
      </c>
      <c r="K18" s="15" t="s">
        <v>80</v>
      </c>
      <c r="L18" s="14" t="s">
        <v>81</v>
      </c>
      <c r="M18" s="72" t="s">
        <v>82</v>
      </c>
      <c r="N18" s="70">
        <v>1</v>
      </c>
      <c r="O18" s="70">
        <v>1</v>
      </c>
      <c r="P18" s="70">
        <v>1</v>
      </c>
      <c r="Q18" s="70">
        <v>0</v>
      </c>
      <c r="R18" s="70">
        <v>0</v>
      </c>
      <c r="S18" s="70">
        <v>2</v>
      </c>
      <c r="T18" s="70">
        <v>2</v>
      </c>
      <c r="U18" s="70">
        <v>1</v>
      </c>
      <c r="V18" s="70">
        <v>0</v>
      </c>
      <c r="W18" s="71" t="s">
        <v>83</v>
      </c>
      <c r="X18" s="72">
        <v>0</v>
      </c>
    </row>
    <row r="19" spans="1:24">
      <c r="A19" s="10" t="s">
        <v>122</v>
      </c>
      <c r="B19" s="10" t="s">
        <v>108</v>
      </c>
      <c r="C19" s="13" t="s">
        <v>123</v>
      </c>
      <c r="D19" s="10" t="s">
        <v>16</v>
      </c>
      <c r="E19" s="10" t="s">
        <v>76</v>
      </c>
      <c r="F19" s="13" t="s">
        <v>41</v>
      </c>
      <c r="G19" s="10" t="s">
        <v>8</v>
      </c>
      <c r="H19" s="10" t="s">
        <v>77</v>
      </c>
      <c r="I19" s="10" t="s">
        <v>78</v>
      </c>
      <c r="J19" s="14" t="s">
        <v>79</v>
      </c>
      <c r="K19" s="15" t="s">
        <v>80</v>
      </c>
      <c r="L19" s="14" t="s">
        <v>81</v>
      </c>
      <c r="M19" s="72" t="s">
        <v>124</v>
      </c>
      <c r="N19" s="70">
        <v>0</v>
      </c>
      <c r="O19" s="70">
        <v>0</v>
      </c>
      <c r="P19" s="70">
        <v>0</v>
      </c>
      <c r="Q19" s="70">
        <v>0</v>
      </c>
      <c r="R19" s="70">
        <v>0</v>
      </c>
      <c r="S19" s="70">
        <v>0</v>
      </c>
      <c r="T19" s="70">
        <v>1</v>
      </c>
      <c r="U19" s="70">
        <v>1</v>
      </c>
      <c r="V19" s="70">
        <v>0</v>
      </c>
      <c r="W19" s="71" t="s">
        <v>83</v>
      </c>
      <c r="X19" s="73" t="s">
        <v>125</v>
      </c>
    </row>
    <row r="20" spans="1:24">
      <c r="A20" s="10" t="s">
        <v>126</v>
      </c>
      <c r="B20" s="10" t="s">
        <v>108</v>
      </c>
      <c r="C20" s="13" t="s">
        <v>127</v>
      </c>
      <c r="D20" s="10" t="s">
        <v>16</v>
      </c>
      <c r="E20" s="10" t="s">
        <v>76</v>
      </c>
      <c r="F20" s="13" t="s">
        <v>33</v>
      </c>
      <c r="G20" s="10" t="s">
        <v>8</v>
      </c>
      <c r="H20" s="10" t="s">
        <v>77</v>
      </c>
      <c r="I20" s="10" t="s">
        <v>128</v>
      </c>
      <c r="J20" s="14" t="s">
        <v>79</v>
      </c>
      <c r="K20" s="15" t="s">
        <v>80</v>
      </c>
      <c r="L20" s="14" t="s">
        <v>81</v>
      </c>
      <c r="M20" s="72" t="s">
        <v>124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1</v>
      </c>
      <c r="U20" s="70">
        <v>1</v>
      </c>
      <c r="V20" s="70">
        <v>0</v>
      </c>
      <c r="W20" s="71" t="s">
        <v>83</v>
      </c>
      <c r="X20" s="73" t="s">
        <v>125</v>
      </c>
    </row>
    <row r="21" spans="1:24">
      <c r="A21" s="10" t="s">
        <v>129</v>
      </c>
      <c r="B21" s="10" t="s">
        <v>108</v>
      </c>
      <c r="C21" s="13" t="s">
        <v>130</v>
      </c>
      <c r="D21" s="10" t="s">
        <v>16</v>
      </c>
      <c r="E21" s="10" t="s">
        <v>76</v>
      </c>
      <c r="F21" s="13" t="s">
        <v>39</v>
      </c>
      <c r="G21" s="10" t="s">
        <v>8</v>
      </c>
      <c r="H21" s="10" t="s">
        <v>77</v>
      </c>
      <c r="I21" s="10" t="s">
        <v>78</v>
      </c>
      <c r="J21" s="14" t="s">
        <v>79</v>
      </c>
      <c r="K21" s="15" t="s">
        <v>86</v>
      </c>
      <c r="L21" s="14" t="s">
        <v>87</v>
      </c>
      <c r="M21" s="72" t="s">
        <v>82</v>
      </c>
      <c r="N21" s="70">
        <v>1</v>
      </c>
      <c r="O21" s="70">
        <v>3</v>
      </c>
      <c r="P21" s="70">
        <v>2</v>
      </c>
      <c r="Q21" s="70">
        <v>1</v>
      </c>
      <c r="R21" s="70">
        <v>0</v>
      </c>
      <c r="S21" s="70">
        <v>4</v>
      </c>
      <c r="T21" s="70">
        <v>3</v>
      </c>
      <c r="U21" s="70">
        <v>2</v>
      </c>
      <c r="V21" s="70">
        <v>0</v>
      </c>
      <c r="W21" s="71" t="s">
        <v>83</v>
      </c>
      <c r="X21" s="72">
        <v>0</v>
      </c>
    </row>
    <row r="22" spans="1:24">
      <c r="A22" s="10" t="s">
        <v>131</v>
      </c>
      <c r="B22" s="10" t="s">
        <v>108</v>
      </c>
      <c r="C22" s="13" t="s">
        <v>132</v>
      </c>
      <c r="D22" s="10" t="s">
        <v>16</v>
      </c>
      <c r="E22" s="10" t="s">
        <v>76</v>
      </c>
      <c r="F22" s="13" t="s">
        <v>39</v>
      </c>
      <c r="G22" s="10" t="s">
        <v>7</v>
      </c>
      <c r="H22" s="10" t="s">
        <v>77</v>
      </c>
      <c r="I22" s="10" t="s">
        <v>78</v>
      </c>
      <c r="J22" s="14" t="s">
        <v>79</v>
      </c>
      <c r="K22" s="15" t="s">
        <v>86</v>
      </c>
      <c r="L22" s="14" t="s">
        <v>87</v>
      </c>
      <c r="M22" s="72" t="s">
        <v>82</v>
      </c>
      <c r="N22" s="70">
        <v>1</v>
      </c>
      <c r="O22" s="70">
        <v>3</v>
      </c>
      <c r="P22" s="70">
        <v>1</v>
      </c>
      <c r="Q22" s="70">
        <v>0</v>
      </c>
      <c r="R22" s="70">
        <v>0</v>
      </c>
      <c r="S22" s="70">
        <v>4</v>
      </c>
      <c r="T22" s="70">
        <v>1</v>
      </c>
      <c r="U22" s="70">
        <v>1</v>
      </c>
      <c r="V22" s="70">
        <v>0</v>
      </c>
      <c r="W22" s="71" t="s">
        <v>83</v>
      </c>
      <c r="X22" s="72">
        <v>0</v>
      </c>
    </row>
    <row r="23" spans="1:24">
      <c r="A23" s="10" t="s">
        <v>133</v>
      </c>
      <c r="B23" s="10" t="s">
        <v>108</v>
      </c>
      <c r="C23" s="10" t="s">
        <v>134</v>
      </c>
      <c r="D23" s="10" t="s">
        <v>16</v>
      </c>
      <c r="E23" s="10" t="s">
        <v>76</v>
      </c>
      <c r="F23" s="13" t="s">
        <v>33</v>
      </c>
      <c r="G23" s="10" t="s">
        <v>8</v>
      </c>
      <c r="H23" s="10" t="s">
        <v>77</v>
      </c>
      <c r="I23" s="10" t="s">
        <v>78</v>
      </c>
      <c r="J23" s="14" t="s">
        <v>79</v>
      </c>
      <c r="K23" s="15" t="s">
        <v>86</v>
      </c>
      <c r="L23" s="14" t="s">
        <v>87</v>
      </c>
      <c r="M23" s="72" t="s">
        <v>82</v>
      </c>
      <c r="N23" s="70">
        <v>1</v>
      </c>
      <c r="O23" s="70">
        <v>0</v>
      </c>
      <c r="P23" s="70">
        <v>0</v>
      </c>
      <c r="Q23" s="70">
        <v>0</v>
      </c>
      <c r="R23" s="70">
        <v>0</v>
      </c>
      <c r="S23" s="70">
        <v>1</v>
      </c>
      <c r="T23" s="70">
        <v>1</v>
      </c>
      <c r="U23" s="70">
        <v>1</v>
      </c>
      <c r="V23" s="70">
        <v>0</v>
      </c>
      <c r="W23" s="71" t="s">
        <v>83</v>
      </c>
      <c r="X23" s="72">
        <v>0</v>
      </c>
    </row>
    <row r="24" spans="1:24">
      <c r="A24" s="10" t="s">
        <v>135</v>
      </c>
      <c r="B24" s="10" t="s">
        <v>136</v>
      </c>
      <c r="C24" s="13" t="s">
        <v>137</v>
      </c>
      <c r="D24" s="10" t="s">
        <v>16</v>
      </c>
      <c r="E24" s="10" t="s">
        <v>76</v>
      </c>
      <c r="F24" s="13" t="s">
        <v>39</v>
      </c>
      <c r="G24" s="10" t="s">
        <v>7</v>
      </c>
      <c r="H24" s="10" t="s">
        <v>77</v>
      </c>
      <c r="I24" s="10" t="s">
        <v>78</v>
      </c>
      <c r="J24" s="14" t="s">
        <v>79</v>
      </c>
      <c r="K24" s="15" t="s">
        <v>80</v>
      </c>
      <c r="L24" s="14" t="s">
        <v>81</v>
      </c>
      <c r="M24" s="72" t="s">
        <v>124</v>
      </c>
      <c r="N24" s="70">
        <v>0</v>
      </c>
      <c r="O24" s="70">
        <v>0</v>
      </c>
      <c r="P24" s="70">
        <v>0</v>
      </c>
      <c r="Q24" s="70">
        <v>0</v>
      </c>
      <c r="R24" s="70">
        <v>0</v>
      </c>
      <c r="S24" s="70">
        <v>0</v>
      </c>
      <c r="T24" s="70">
        <v>0</v>
      </c>
      <c r="U24" s="70">
        <v>1</v>
      </c>
      <c r="V24" s="70">
        <v>0</v>
      </c>
      <c r="W24" s="71" t="s">
        <v>83</v>
      </c>
      <c r="X24" s="73" t="s">
        <v>138</v>
      </c>
    </row>
    <row r="25" spans="1:24">
      <c r="A25" s="10" t="s">
        <v>139</v>
      </c>
      <c r="B25" s="10" t="s">
        <v>140</v>
      </c>
      <c r="C25" s="13" t="s">
        <v>141</v>
      </c>
      <c r="D25" s="10" t="s">
        <v>18</v>
      </c>
      <c r="E25" s="10" t="s">
        <v>76</v>
      </c>
      <c r="F25" s="13" t="s">
        <v>33</v>
      </c>
      <c r="G25" s="10" t="s">
        <v>8</v>
      </c>
      <c r="H25" s="10" t="s">
        <v>77</v>
      </c>
      <c r="I25" s="10" t="s">
        <v>78</v>
      </c>
      <c r="J25" s="14" t="s">
        <v>79</v>
      </c>
      <c r="K25" s="15" t="s">
        <v>86</v>
      </c>
      <c r="L25" s="14" t="s">
        <v>87</v>
      </c>
      <c r="M25" s="72" t="s">
        <v>82</v>
      </c>
      <c r="N25" s="70">
        <v>1</v>
      </c>
      <c r="O25" s="70">
        <v>1</v>
      </c>
      <c r="P25" s="70">
        <v>1</v>
      </c>
      <c r="Q25" s="70">
        <v>0</v>
      </c>
      <c r="R25" s="70">
        <v>0</v>
      </c>
      <c r="S25" s="70">
        <v>2</v>
      </c>
      <c r="T25" s="70">
        <v>2</v>
      </c>
      <c r="U25" s="70">
        <v>1</v>
      </c>
      <c r="V25" s="70">
        <v>0</v>
      </c>
      <c r="W25" s="71" t="s">
        <v>83</v>
      </c>
      <c r="X25" s="72">
        <v>0</v>
      </c>
    </row>
    <row r="26" spans="1:24">
      <c r="A26" s="10" t="s">
        <v>142</v>
      </c>
      <c r="B26" s="10" t="s">
        <v>140</v>
      </c>
      <c r="C26" s="13" t="s">
        <v>143</v>
      </c>
      <c r="D26" s="10" t="s">
        <v>18</v>
      </c>
      <c r="E26" s="10" t="s">
        <v>76</v>
      </c>
      <c r="F26" s="13" t="s">
        <v>32</v>
      </c>
      <c r="G26" s="10" t="s">
        <v>7</v>
      </c>
      <c r="H26" s="10" t="s">
        <v>77</v>
      </c>
      <c r="I26" s="10" t="s">
        <v>78</v>
      </c>
      <c r="J26" s="14" t="s">
        <v>79</v>
      </c>
      <c r="K26" s="15" t="s">
        <v>86</v>
      </c>
      <c r="L26" s="14" t="s">
        <v>87</v>
      </c>
      <c r="M26" s="72" t="s">
        <v>82</v>
      </c>
      <c r="N26" s="70">
        <v>1</v>
      </c>
      <c r="O26" s="70">
        <v>0</v>
      </c>
      <c r="P26" s="70">
        <v>0</v>
      </c>
      <c r="Q26" s="70">
        <v>0</v>
      </c>
      <c r="R26" s="70">
        <v>0</v>
      </c>
      <c r="S26" s="70">
        <v>1</v>
      </c>
      <c r="T26" s="70">
        <v>0</v>
      </c>
      <c r="U26" s="70">
        <v>1</v>
      </c>
      <c r="V26" s="70">
        <v>0</v>
      </c>
      <c r="W26" s="71" t="s">
        <v>83</v>
      </c>
      <c r="X26" s="72">
        <v>0</v>
      </c>
    </row>
    <row r="27" spans="1:24">
      <c r="A27" s="10" t="s">
        <v>144</v>
      </c>
      <c r="B27" s="10" t="s">
        <v>140</v>
      </c>
      <c r="C27" s="13" t="s">
        <v>145</v>
      </c>
      <c r="D27" s="10" t="s">
        <v>18</v>
      </c>
      <c r="E27" s="10" t="s">
        <v>76</v>
      </c>
      <c r="F27" s="13" t="s">
        <v>33</v>
      </c>
      <c r="G27" s="10" t="s">
        <v>8</v>
      </c>
      <c r="H27" s="10" t="s">
        <v>77</v>
      </c>
      <c r="I27" s="10" t="s">
        <v>78</v>
      </c>
      <c r="J27" s="14" t="s">
        <v>79</v>
      </c>
      <c r="K27" s="15" t="s">
        <v>86</v>
      </c>
      <c r="L27" s="14" t="s">
        <v>87</v>
      </c>
      <c r="M27" s="72" t="s">
        <v>124</v>
      </c>
      <c r="N27" s="70">
        <v>0</v>
      </c>
      <c r="O27" s="70">
        <v>2</v>
      </c>
      <c r="P27" s="70">
        <v>0</v>
      </c>
      <c r="Q27" s="70">
        <v>1</v>
      </c>
      <c r="R27" s="70">
        <v>0</v>
      </c>
      <c r="S27" s="70">
        <v>2</v>
      </c>
      <c r="T27" s="70">
        <v>1</v>
      </c>
      <c r="U27" s="70">
        <v>2</v>
      </c>
      <c r="V27" s="70">
        <v>0</v>
      </c>
      <c r="W27" s="71" t="s">
        <v>83</v>
      </c>
      <c r="X27" s="72">
        <v>0</v>
      </c>
    </row>
    <row r="28" spans="1:24">
      <c r="A28" s="10" t="s">
        <v>146</v>
      </c>
      <c r="B28" s="10" t="s">
        <v>140</v>
      </c>
      <c r="C28" s="13" t="s">
        <v>147</v>
      </c>
      <c r="D28" s="10" t="s">
        <v>18</v>
      </c>
      <c r="E28" s="10" t="s">
        <v>76</v>
      </c>
      <c r="F28" s="13" t="s">
        <v>33</v>
      </c>
      <c r="G28" s="10" t="s">
        <v>8</v>
      </c>
      <c r="H28" s="10" t="s">
        <v>90</v>
      </c>
      <c r="I28" s="10" t="s">
        <v>78</v>
      </c>
      <c r="J28" s="14" t="s">
        <v>79</v>
      </c>
      <c r="K28" s="15" t="s">
        <v>80</v>
      </c>
      <c r="L28" s="14" t="s">
        <v>81</v>
      </c>
      <c r="M28" s="72" t="s">
        <v>82</v>
      </c>
      <c r="N28" s="70">
        <v>1</v>
      </c>
      <c r="O28" s="70">
        <v>10</v>
      </c>
      <c r="P28" s="70">
        <v>4</v>
      </c>
      <c r="Q28" s="70">
        <v>3</v>
      </c>
      <c r="R28" s="70">
        <v>0</v>
      </c>
      <c r="S28" s="70">
        <v>11</v>
      </c>
      <c r="T28" s="70">
        <v>5</v>
      </c>
      <c r="U28" s="70">
        <v>3</v>
      </c>
      <c r="V28" s="70">
        <v>0</v>
      </c>
      <c r="W28" s="71" t="s">
        <v>83</v>
      </c>
      <c r="X28" s="72">
        <v>0</v>
      </c>
    </row>
    <row r="29" spans="1:24">
      <c r="A29" s="10" t="s">
        <v>148</v>
      </c>
      <c r="B29" s="10" t="s">
        <v>149</v>
      </c>
      <c r="C29" s="13" t="s">
        <v>150</v>
      </c>
      <c r="D29" s="10" t="s">
        <v>18</v>
      </c>
      <c r="E29" s="10" t="s">
        <v>76</v>
      </c>
      <c r="F29" s="13" t="s">
        <v>33</v>
      </c>
      <c r="G29" s="10" t="s">
        <v>8</v>
      </c>
      <c r="H29" s="10" t="s">
        <v>90</v>
      </c>
      <c r="I29" s="10" t="s">
        <v>78</v>
      </c>
      <c r="J29" s="14" t="s">
        <v>79</v>
      </c>
      <c r="K29" s="15" t="s">
        <v>86</v>
      </c>
      <c r="L29" s="14" t="s">
        <v>87</v>
      </c>
      <c r="M29" s="72" t="s">
        <v>82</v>
      </c>
      <c r="N29" s="70">
        <v>1</v>
      </c>
      <c r="O29" s="70">
        <v>26</v>
      </c>
      <c r="P29" s="70">
        <v>26</v>
      </c>
      <c r="Q29" s="70">
        <v>2</v>
      </c>
      <c r="R29" s="70">
        <v>0</v>
      </c>
      <c r="S29" s="70">
        <v>27</v>
      </c>
      <c r="T29" s="70">
        <v>27</v>
      </c>
      <c r="U29" s="70">
        <v>2</v>
      </c>
      <c r="V29" s="70">
        <v>0</v>
      </c>
      <c r="W29" s="71" t="s">
        <v>83</v>
      </c>
      <c r="X29" s="72">
        <v>0</v>
      </c>
    </row>
    <row r="30" spans="1:24">
      <c r="A30" s="10" t="s">
        <v>151</v>
      </c>
      <c r="B30" s="10" t="s">
        <v>149</v>
      </c>
      <c r="C30" s="13" t="s">
        <v>152</v>
      </c>
      <c r="D30" s="10" t="s">
        <v>18</v>
      </c>
      <c r="E30" s="10" t="s">
        <v>76</v>
      </c>
      <c r="F30" s="13" t="s">
        <v>33</v>
      </c>
      <c r="G30" s="10" t="s">
        <v>7</v>
      </c>
      <c r="H30" s="10" t="s">
        <v>77</v>
      </c>
      <c r="I30" s="10" t="s">
        <v>78</v>
      </c>
      <c r="J30" s="14" t="s">
        <v>79</v>
      </c>
      <c r="K30" s="15" t="s">
        <v>86</v>
      </c>
      <c r="L30" s="14" t="s">
        <v>87</v>
      </c>
      <c r="M30" s="72" t="s">
        <v>82</v>
      </c>
      <c r="N30" s="70">
        <v>1</v>
      </c>
      <c r="O30" s="70">
        <v>0</v>
      </c>
      <c r="P30" s="70">
        <v>0</v>
      </c>
      <c r="Q30" s="70">
        <v>0</v>
      </c>
      <c r="R30" s="70">
        <v>0</v>
      </c>
      <c r="S30" s="70">
        <v>1</v>
      </c>
      <c r="T30" s="70">
        <v>0</v>
      </c>
      <c r="U30" s="70">
        <v>1</v>
      </c>
      <c r="V30" s="70">
        <v>0</v>
      </c>
      <c r="W30" s="71" t="s">
        <v>83</v>
      </c>
      <c r="X30" s="72">
        <v>0</v>
      </c>
    </row>
    <row r="31" spans="1:24">
      <c r="A31" s="10" t="s">
        <v>153</v>
      </c>
      <c r="B31" s="10" t="s">
        <v>154</v>
      </c>
      <c r="C31" s="13" t="s">
        <v>155</v>
      </c>
      <c r="D31" s="10" t="s">
        <v>19</v>
      </c>
      <c r="E31" s="10" t="s">
        <v>76</v>
      </c>
      <c r="F31" s="13" t="s">
        <v>156</v>
      </c>
      <c r="G31" s="10" t="s">
        <v>8</v>
      </c>
      <c r="H31" s="10" t="s">
        <v>90</v>
      </c>
      <c r="I31" s="10" t="s">
        <v>78</v>
      </c>
      <c r="J31" s="14" t="s">
        <v>79</v>
      </c>
      <c r="K31" s="15" t="s">
        <v>80</v>
      </c>
      <c r="L31" s="14" t="s">
        <v>81</v>
      </c>
      <c r="M31" s="72" t="s">
        <v>124</v>
      </c>
      <c r="N31" s="70">
        <v>0</v>
      </c>
      <c r="O31" s="70">
        <v>5</v>
      </c>
      <c r="P31" s="70">
        <v>3</v>
      </c>
      <c r="Q31" s="70">
        <v>1</v>
      </c>
      <c r="R31" s="70">
        <v>0</v>
      </c>
      <c r="S31" s="70">
        <v>5</v>
      </c>
      <c r="T31" s="70">
        <v>4</v>
      </c>
      <c r="U31" s="70">
        <v>1</v>
      </c>
      <c r="V31" s="70">
        <v>0</v>
      </c>
      <c r="W31" s="71" t="s">
        <v>83</v>
      </c>
      <c r="X31" s="73" t="s">
        <v>157</v>
      </c>
    </row>
    <row r="32" spans="1:24">
      <c r="A32" s="10" t="s">
        <v>158</v>
      </c>
      <c r="B32" s="10" t="s">
        <v>159</v>
      </c>
      <c r="C32" s="13" t="s">
        <v>160</v>
      </c>
      <c r="D32" s="10" t="s">
        <v>19</v>
      </c>
      <c r="E32" s="10" t="s">
        <v>76</v>
      </c>
      <c r="F32" s="13" t="s">
        <v>31</v>
      </c>
      <c r="G32" s="10" t="s">
        <v>7</v>
      </c>
      <c r="H32" s="10" t="s">
        <v>77</v>
      </c>
      <c r="I32" s="10" t="s">
        <v>78</v>
      </c>
      <c r="J32" s="14" t="s">
        <v>79</v>
      </c>
      <c r="K32" s="15" t="s">
        <v>80</v>
      </c>
      <c r="L32" s="14" t="s">
        <v>81</v>
      </c>
      <c r="M32" s="72" t="s">
        <v>82</v>
      </c>
      <c r="N32" s="70">
        <v>1</v>
      </c>
      <c r="O32" s="70">
        <v>4</v>
      </c>
      <c r="P32" s="70">
        <v>1</v>
      </c>
      <c r="Q32" s="70">
        <v>0</v>
      </c>
      <c r="R32" s="70">
        <v>0</v>
      </c>
      <c r="S32" s="70">
        <v>5</v>
      </c>
      <c r="T32" s="70">
        <v>1</v>
      </c>
      <c r="U32" s="70">
        <v>1</v>
      </c>
      <c r="V32" s="70">
        <v>0</v>
      </c>
      <c r="W32" s="71" t="s">
        <v>83</v>
      </c>
      <c r="X32" s="72">
        <v>0</v>
      </c>
    </row>
    <row r="33" spans="1:24">
      <c r="A33" s="10" t="s">
        <v>161</v>
      </c>
      <c r="B33" s="10" t="s">
        <v>159</v>
      </c>
      <c r="C33" s="13" t="s">
        <v>162</v>
      </c>
      <c r="D33" s="10" t="s">
        <v>19</v>
      </c>
      <c r="E33" s="10" t="s">
        <v>76</v>
      </c>
      <c r="F33" s="13" t="s">
        <v>42</v>
      </c>
      <c r="G33" s="10" t="s">
        <v>8</v>
      </c>
      <c r="H33" s="10" t="s">
        <v>90</v>
      </c>
      <c r="I33" s="10" t="s">
        <v>78</v>
      </c>
      <c r="J33" s="14" t="s">
        <v>79</v>
      </c>
      <c r="K33" s="15" t="s">
        <v>86</v>
      </c>
      <c r="L33" s="14" t="s">
        <v>87</v>
      </c>
      <c r="M33" s="72" t="s">
        <v>82</v>
      </c>
      <c r="N33" s="70">
        <v>1</v>
      </c>
      <c r="O33" s="70">
        <v>1</v>
      </c>
      <c r="P33" s="70">
        <v>1</v>
      </c>
      <c r="Q33" s="70">
        <v>0</v>
      </c>
      <c r="R33" s="70">
        <v>0</v>
      </c>
      <c r="S33" s="70">
        <v>2</v>
      </c>
      <c r="T33" s="70">
        <v>2</v>
      </c>
      <c r="U33" s="70">
        <v>0</v>
      </c>
      <c r="V33" s="70">
        <v>0</v>
      </c>
      <c r="W33" s="71" t="s">
        <v>83</v>
      </c>
      <c r="X33" s="72">
        <v>0</v>
      </c>
    </row>
    <row r="34" spans="1:24">
      <c r="A34" s="10" t="s">
        <v>163</v>
      </c>
      <c r="B34" s="10" t="s">
        <v>159</v>
      </c>
      <c r="C34" s="13" t="s">
        <v>164</v>
      </c>
      <c r="D34" s="10" t="s">
        <v>19</v>
      </c>
      <c r="E34" s="10" t="s">
        <v>76</v>
      </c>
      <c r="F34" s="13" t="s">
        <v>42</v>
      </c>
      <c r="G34" s="10" t="s">
        <v>8</v>
      </c>
      <c r="H34" s="10" t="s">
        <v>90</v>
      </c>
      <c r="I34" s="10" t="s">
        <v>78</v>
      </c>
      <c r="J34" s="14" t="s">
        <v>79</v>
      </c>
      <c r="K34" s="15" t="s">
        <v>86</v>
      </c>
      <c r="L34" s="14" t="s">
        <v>87</v>
      </c>
      <c r="M34" s="72" t="s">
        <v>82</v>
      </c>
      <c r="N34" s="70">
        <v>1</v>
      </c>
      <c r="O34" s="70">
        <v>4</v>
      </c>
      <c r="P34" s="70">
        <v>4</v>
      </c>
      <c r="Q34" s="70">
        <v>4</v>
      </c>
      <c r="R34" s="70">
        <v>0</v>
      </c>
      <c r="S34" s="70">
        <v>5</v>
      </c>
      <c r="T34" s="70">
        <v>5</v>
      </c>
      <c r="U34" s="70">
        <v>4</v>
      </c>
      <c r="V34" s="70">
        <v>0</v>
      </c>
      <c r="W34" s="71" t="s">
        <v>83</v>
      </c>
      <c r="X34" s="72">
        <v>0</v>
      </c>
    </row>
    <row r="35" spans="1:24">
      <c r="A35" s="10" t="s">
        <v>165</v>
      </c>
      <c r="B35" s="10" t="s">
        <v>159</v>
      </c>
      <c r="C35" s="13" t="s">
        <v>166</v>
      </c>
      <c r="D35" s="10" t="s">
        <v>19</v>
      </c>
      <c r="E35" s="10" t="s">
        <v>76</v>
      </c>
      <c r="F35" s="13" t="s">
        <v>33</v>
      </c>
      <c r="G35" s="10" t="s">
        <v>8</v>
      </c>
      <c r="H35" s="10" t="s">
        <v>77</v>
      </c>
      <c r="I35" s="10" t="s">
        <v>78</v>
      </c>
      <c r="J35" s="14" t="s">
        <v>79</v>
      </c>
      <c r="K35" s="15" t="s">
        <v>80</v>
      </c>
      <c r="L35" s="14" t="s">
        <v>81</v>
      </c>
      <c r="M35" s="72" t="s">
        <v>82</v>
      </c>
      <c r="N35" s="70">
        <v>1</v>
      </c>
      <c r="O35" s="70">
        <v>0</v>
      </c>
      <c r="P35" s="70">
        <v>0</v>
      </c>
      <c r="Q35" s="70">
        <v>0</v>
      </c>
      <c r="R35" s="70">
        <v>0</v>
      </c>
      <c r="S35" s="70">
        <v>1</v>
      </c>
      <c r="T35" s="70">
        <v>1</v>
      </c>
      <c r="U35" s="70">
        <v>1</v>
      </c>
      <c r="V35" s="70">
        <v>0</v>
      </c>
      <c r="W35" s="71" t="s">
        <v>83</v>
      </c>
      <c r="X35" s="72">
        <v>0</v>
      </c>
    </row>
    <row r="36" spans="1:24">
      <c r="A36" s="10" t="s">
        <v>167</v>
      </c>
      <c r="B36" s="10" t="s">
        <v>159</v>
      </c>
      <c r="C36" s="13" t="s">
        <v>168</v>
      </c>
      <c r="D36" s="10" t="s">
        <v>19</v>
      </c>
      <c r="E36" s="10" t="s">
        <v>76</v>
      </c>
      <c r="F36" s="13" t="s">
        <v>31</v>
      </c>
      <c r="G36" s="10" t="s">
        <v>8</v>
      </c>
      <c r="H36" s="10" t="s">
        <v>90</v>
      </c>
      <c r="I36" s="10" t="s">
        <v>78</v>
      </c>
      <c r="J36" s="14" t="s">
        <v>79</v>
      </c>
      <c r="K36" s="15" t="s">
        <v>80</v>
      </c>
      <c r="L36" s="14" t="s">
        <v>81</v>
      </c>
      <c r="M36" s="72" t="s">
        <v>82</v>
      </c>
      <c r="N36" s="70">
        <v>1</v>
      </c>
      <c r="O36" s="70">
        <v>3</v>
      </c>
      <c r="P36" s="70">
        <v>1</v>
      </c>
      <c r="Q36" s="70">
        <v>1</v>
      </c>
      <c r="R36" s="70">
        <v>0</v>
      </c>
      <c r="S36" s="70">
        <v>4</v>
      </c>
      <c r="T36" s="70">
        <v>2</v>
      </c>
      <c r="U36" s="70">
        <v>1</v>
      </c>
      <c r="V36" s="70">
        <v>0</v>
      </c>
      <c r="W36" s="71" t="s">
        <v>83</v>
      </c>
      <c r="X36" s="72">
        <v>0</v>
      </c>
    </row>
    <row r="37" spans="1:24">
      <c r="A37" s="10" t="s">
        <v>169</v>
      </c>
      <c r="B37" s="10" t="s">
        <v>159</v>
      </c>
      <c r="C37" s="13" t="s">
        <v>170</v>
      </c>
      <c r="D37" s="10" t="s">
        <v>19</v>
      </c>
      <c r="E37" s="10" t="s">
        <v>76</v>
      </c>
      <c r="F37" s="13" t="s">
        <v>42</v>
      </c>
      <c r="G37" s="10" t="s">
        <v>8</v>
      </c>
      <c r="H37" s="10" t="s">
        <v>90</v>
      </c>
      <c r="I37" s="10" t="s">
        <v>78</v>
      </c>
      <c r="J37" s="14" t="s">
        <v>79</v>
      </c>
      <c r="K37" s="15" t="s">
        <v>80</v>
      </c>
      <c r="L37" s="14" t="s">
        <v>81</v>
      </c>
      <c r="M37" s="72" t="s">
        <v>82</v>
      </c>
      <c r="N37" s="70">
        <v>1</v>
      </c>
      <c r="O37" s="70">
        <v>0</v>
      </c>
      <c r="P37" s="70">
        <v>0</v>
      </c>
      <c r="Q37" s="70">
        <v>0</v>
      </c>
      <c r="R37" s="70">
        <v>0</v>
      </c>
      <c r="S37" s="70">
        <v>1</v>
      </c>
      <c r="T37" s="70">
        <v>1</v>
      </c>
      <c r="U37" s="70">
        <v>0</v>
      </c>
      <c r="V37" s="70">
        <v>0</v>
      </c>
      <c r="W37" s="71" t="s">
        <v>83</v>
      </c>
      <c r="X37" s="72">
        <v>0</v>
      </c>
    </row>
    <row r="38" spans="1:24">
      <c r="A38" s="10" t="s">
        <v>171</v>
      </c>
      <c r="B38" s="10" t="s">
        <v>98</v>
      </c>
      <c r="C38" s="13" t="s">
        <v>172</v>
      </c>
      <c r="D38" s="10" t="s">
        <v>19</v>
      </c>
      <c r="E38" s="10" t="s">
        <v>76</v>
      </c>
      <c r="F38" s="13" t="s">
        <v>33</v>
      </c>
      <c r="G38" s="10" t="s">
        <v>7</v>
      </c>
      <c r="H38" s="10" t="s">
        <v>77</v>
      </c>
      <c r="I38" s="10" t="s">
        <v>78</v>
      </c>
      <c r="J38" s="14" t="s">
        <v>79</v>
      </c>
      <c r="K38" s="15" t="s">
        <v>80</v>
      </c>
      <c r="L38" s="14" t="s">
        <v>81</v>
      </c>
      <c r="M38" s="72" t="s">
        <v>82</v>
      </c>
      <c r="N38" s="70">
        <v>1</v>
      </c>
      <c r="O38" s="70">
        <v>1</v>
      </c>
      <c r="P38" s="70">
        <v>0</v>
      </c>
      <c r="Q38" s="70">
        <v>0</v>
      </c>
      <c r="R38" s="70">
        <v>0</v>
      </c>
      <c r="S38" s="70">
        <v>2</v>
      </c>
      <c r="T38" s="70">
        <v>0</v>
      </c>
      <c r="U38" s="70">
        <v>1</v>
      </c>
      <c r="V38" s="70">
        <v>0</v>
      </c>
      <c r="W38" s="71" t="s">
        <v>83</v>
      </c>
      <c r="X38" s="72">
        <v>0</v>
      </c>
    </row>
    <row r="39" spans="1:24">
      <c r="A39" s="10" t="s">
        <v>173</v>
      </c>
      <c r="B39" s="10" t="s">
        <v>174</v>
      </c>
      <c r="C39" s="13" t="s">
        <v>175</v>
      </c>
      <c r="D39" s="10" t="s">
        <v>20</v>
      </c>
      <c r="E39" s="10" t="s">
        <v>76</v>
      </c>
      <c r="F39" s="13" t="s">
        <v>33</v>
      </c>
      <c r="G39" s="10" t="s">
        <v>8</v>
      </c>
      <c r="H39" s="10" t="s">
        <v>77</v>
      </c>
      <c r="I39" s="10" t="s">
        <v>78</v>
      </c>
      <c r="J39" s="14" t="s">
        <v>79</v>
      </c>
      <c r="K39" s="15" t="s">
        <v>80</v>
      </c>
      <c r="L39" s="14" t="s">
        <v>81</v>
      </c>
      <c r="M39" s="72" t="s">
        <v>82</v>
      </c>
      <c r="N39" s="70">
        <v>1</v>
      </c>
      <c r="O39" s="70">
        <v>3</v>
      </c>
      <c r="P39" s="70">
        <v>3</v>
      </c>
      <c r="Q39" s="70">
        <v>3</v>
      </c>
      <c r="R39" s="70">
        <v>0</v>
      </c>
      <c r="S39" s="70">
        <v>4</v>
      </c>
      <c r="T39" s="70">
        <v>4</v>
      </c>
      <c r="U39" s="70">
        <v>4</v>
      </c>
      <c r="V39" s="70">
        <v>0</v>
      </c>
      <c r="W39" s="71" t="s">
        <v>83</v>
      </c>
      <c r="X39" s="72">
        <v>0</v>
      </c>
    </row>
    <row r="40" spans="1:24">
      <c r="A40" s="10" t="s">
        <v>176</v>
      </c>
      <c r="B40" s="10" t="s">
        <v>174</v>
      </c>
      <c r="C40" s="13" t="s">
        <v>177</v>
      </c>
      <c r="D40" s="10" t="s">
        <v>20</v>
      </c>
      <c r="E40" s="10" t="s">
        <v>76</v>
      </c>
      <c r="F40" s="13" t="s">
        <v>178</v>
      </c>
      <c r="G40" s="10" t="s">
        <v>8</v>
      </c>
      <c r="H40" s="10" t="s">
        <v>179</v>
      </c>
      <c r="I40" s="10" t="s">
        <v>78</v>
      </c>
      <c r="J40" s="14" t="s">
        <v>79</v>
      </c>
      <c r="K40" s="15" t="s">
        <v>86</v>
      </c>
      <c r="L40" s="14" t="s">
        <v>87</v>
      </c>
      <c r="M40" s="72" t="s">
        <v>82</v>
      </c>
      <c r="N40" s="70">
        <v>1</v>
      </c>
      <c r="O40" s="70">
        <v>5</v>
      </c>
      <c r="P40" s="70">
        <v>3</v>
      </c>
      <c r="Q40" s="70">
        <v>1</v>
      </c>
      <c r="R40" s="70">
        <v>0</v>
      </c>
      <c r="S40" s="70">
        <v>6</v>
      </c>
      <c r="T40" s="70">
        <v>4</v>
      </c>
      <c r="U40" s="70">
        <v>1</v>
      </c>
      <c r="V40" s="70">
        <v>0</v>
      </c>
      <c r="W40" s="71" t="s">
        <v>83</v>
      </c>
      <c r="X40" s="73" t="s">
        <v>157</v>
      </c>
    </row>
    <row r="41" spans="1:24">
      <c r="A41" s="10" t="s">
        <v>180</v>
      </c>
      <c r="B41" s="10" t="s">
        <v>174</v>
      </c>
      <c r="C41" s="13" t="s">
        <v>181</v>
      </c>
      <c r="D41" s="10" t="s">
        <v>20</v>
      </c>
      <c r="E41" s="10" t="s">
        <v>76</v>
      </c>
      <c r="F41" s="13" t="s">
        <v>182</v>
      </c>
      <c r="G41" s="10" t="s">
        <v>7</v>
      </c>
      <c r="H41" s="10" t="s">
        <v>179</v>
      </c>
      <c r="I41" s="10" t="s">
        <v>78</v>
      </c>
      <c r="J41" s="14" t="s">
        <v>79</v>
      </c>
      <c r="K41" s="15" t="s">
        <v>86</v>
      </c>
      <c r="L41" s="14" t="s">
        <v>87</v>
      </c>
      <c r="M41" s="72" t="s">
        <v>82</v>
      </c>
      <c r="N41" s="70">
        <v>1</v>
      </c>
      <c r="O41" s="70">
        <v>2</v>
      </c>
      <c r="P41" s="70">
        <v>1</v>
      </c>
      <c r="Q41" s="70">
        <v>0</v>
      </c>
      <c r="R41" s="70">
        <v>0</v>
      </c>
      <c r="S41" s="70">
        <v>3</v>
      </c>
      <c r="T41" s="70">
        <v>1</v>
      </c>
      <c r="U41" s="70">
        <v>0</v>
      </c>
      <c r="V41" s="70">
        <v>0</v>
      </c>
      <c r="W41" s="71" t="s">
        <v>83</v>
      </c>
      <c r="X41" s="73" t="s">
        <v>157</v>
      </c>
    </row>
    <row r="42" spans="1:24">
      <c r="A42" s="10" t="s">
        <v>183</v>
      </c>
      <c r="B42" s="10" t="s">
        <v>174</v>
      </c>
      <c r="C42" s="13" t="s">
        <v>184</v>
      </c>
      <c r="D42" s="10" t="s">
        <v>20</v>
      </c>
      <c r="E42" s="10" t="s">
        <v>76</v>
      </c>
      <c r="F42" s="13" t="s">
        <v>33</v>
      </c>
      <c r="G42" s="10" t="s">
        <v>8</v>
      </c>
      <c r="H42" s="10" t="s">
        <v>77</v>
      </c>
      <c r="I42" s="10" t="s">
        <v>78</v>
      </c>
      <c r="J42" s="14" t="s">
        <v>79</v>
      </c>
      <c r="K42" s="15" t="s">
        <v>86</v>
      </c>
      <c r="L42" s="14" t="s">
        <v>87</v>
      </c>
      <c r="M42" s="72" t="s">
        <v>82</v>
      </c>
      <c r="N42" s="70">
        <v>1</v>
      </c>
      <c r="O42" s="70">
        <v>3</v>
      </c>
      <c r="P42" s="70">
        <v>2</v>
      </c>
      <c r="Q42" s="70">
        <v>0</v>
      </c>
      <c r="R42" s="70">
        <v>0</v>
      </c>
      <c r="S42" s="70">
        <v>4</v>
      </c>
      <c r="T42" s="70">
        <v>3</v>
      </c>
      <c r="U42" s="70">
        <v>1</v>
      </c>
      <c r="V42" s="70">
        <v>0</v>
      </c>
      <c r="W42" s="71" t="s">
        <v>83</v>
      </c>
      <c r="X42" s="72">
        <v>0</v>
      </c>
    </row>
    <row r="43" spans="1:24">
      <c r="A43" s="10" t="s">
        <v>185</v>
      </c>
      <c r="B43" s="10" t="s">
        <v>174</v>
      </c>
      <c r="C43" s="13" t="s">
        <v>186</v>
      </c>
      <c r="D43" s="10" t="s">
        <v>20</v>
      </c>
      <c r="E43" s="10" t="s">
        <v>76</v>
      </c>
      <c r="F43" s="13" t="s">
        <v>42</v>
      </c>
      <c r="G43" s="10" t="s">
        <v>8</v>
      </c>
      <c r="H43" s="10" t="s">
        <v>77</v>
      </c>
      <c r="I43" s="10" t="s">
        <v>78</v>
      </c>
      <c r="J43" s="14" t="s">
        <v>79</v>
      </c>
      <c r="K43" s="15" t="s">
        <v>86</v>
      </c>
      <c r="L43" s="14" t="s">
        <v>87</v>
      </c>
      <c r="M43" s="72" t="s">
        <v>124</v>
      </c>
      <c r="N43" s="70">
        <v>0</v>
      </c>
      <c r="O43" s="70">
        <v>4</v>
      </c>
      <c r="P43" s="70">
        <v>1</v>
      </c>
      <c r="Q43" s="70">
        <v>1</v>
      </c>
      <c r="R43" s="70">
        <v>0</v>
      </c>
      <c r="S43" s="70">
        <v>4</v>
      </c>
      <c r="T43" s="70">
        <v>2</v>
      </c>
      <c r="U43" s="70">
        <v>2</v>
      </c>
      <c r="V43" s="70">
        <v>0</v>
      </c>
      <c r="W43" s="71" t="s">
        <v>83</v>
      </c>
      <c r="X43" s="72">
        <v>0</v>
      </c>
    </row>
    <row r="44" spans="1:24">
      <c r="A44" s="10" t="s">
        <v>187</v>
      </c>
      <c r="B44" s="10" t="s">
        <v>174</v>
      </c>
      <c r="C44" s="13" t="s">
        <v>188</v>
      </c>
      <c r="D44" s="10" t="s">
        <v>20</v>
      </c>
      <c r="E44" s="10" t="s">
        <v>76</v>
      </c>
      <c r="F44" s="13" t="s">
        <v>45</v>
      </c>
      <c r="G44" s="10" t="s">
        <v>7</v>
      </c>
      <c r="H44" s="10" t="s">
        <v>77</v>
      </c>
      <c r="I44" s="10" t="s">
        <v>78</v>
      </c>
      <c r="J44" s="14" t="s">
        <v>79</v>
      </c>
      <c r="K44" s="15" t="s">
        <v>86</v>
      </c>
      <c r="L44" s="14" t="s">
        <v>87</v>
      </c>
      <c r="M44" s="72" t="s">
        <v>82</v>
      </c>
      <c r="N44" s="70">
        <v>1</v>
      </c>
      <c r="O44" s="70">
        <v>3</v>
      </c>
      <c r="P44" s="70">
        <v>0</v>
      </c>
      <c r="Q44" s="70">
        <v>1</v>
      </c>
      <c r="R44" s="70">
        <v>0</v>
      </c>
      <c r="S44" s="70">
        <v>4</v>
      </c>
      <c r="T44" s="70">
        <v>0</v>
      </c>
      <c r="U44" s="70">
        <v>2</v>
      </c>
      <c r="V44" s="70">
        <v>0</v>
      </c>
      <c r="W44" s="71" t="s">
        <v>83</v>
      </c>
      <c r="X44" s="72">
        <v>0</v>
      </c>
    </row>
    <row r="45" spans="1:24">
      <c r="A45" s="10" t="s">
        <v>189</v>
      </c>
      <c r="B45" s="10" t="s">
        <v>174</v>
      </c>
      <c r="C45" s="13" t="s">
        <v>190</v>
      </c>
      <c r="D45" s="10" t="s">
        <v>20</v>
      </c>
      <c r="E45" s="10" t="s">
        <v>76</v>
      </c>
      <c r="F45" s="13" t="s">
        <v>31</v>
      </c>
      <c r="G45" s="10" t="s">
        <v>8</v>
      </c>
      <c r="H45" s="10" t="s">
        <v>77</v>
      </c>
      <c r="I45" s="10" t="s">
        <v>78</v>
      </c>
      <c r="J45" s="14" t="s">
        <v>79</v>
      </c>
      <c r="K45" s="15" t="s">
        <v>86</v>
      </c>
      <c r="L45" s="14" t="s">
        <v>87</v>
      </c>
      <c r="M45" s="72" t="s">
        <v>82</v>
      </c>
      <c r="N45" s="70">
        <v>1</v>
      </c>
      <c r="O45" s="70">
        <v>3</v>
      </c>
      <c r="P45" s="70">
        <v>3</v>
      </c>
      <c r="Q45" s="70">
        <v>2</v>
      </c>
      <c r="R45" s="70">
        <v>0</v>
      </c>
      <c r="S45" s="70">
        <v>4</v>
      </c>
      <c r="T45" s="70">
        <v>4</v>
      </c>
      <c r="U45" s="70">
        <v>3</v>
      </c>
      <c r="V45" s="70">
        <v>0</v>
      </c>
      <c r="W45" s="71" t="s">
        <v>83</v>
      </c>
      <c r="X45" s="72">
        <v>0</v>
      </c>
    </row>
    <row r="46" spans="1:24">
      <c r="A46" s="10" t="s">
        <v>191</v>
      </c>
      <c r="B46" s="10" t="s">
        <v>192</v>
      </c>
      <c r="C46" s="13" t="s">
        <v>193</v>
      </c>
      <c r="D46" s="10" t="s">
        <v>20</v>
      </c>
      <c r="E46" s="10" t="s">
        <v>76</v>
      </c>
      <c r="F46" s="13" t="s">
        <v>32</v>
      </c>
      <c r="G46" s="10" t="s">
        <v>8</v>
      </c>
      <c r="H46" s="10" t="s">
        <v>77</v>
      </c>
      <c r="I46" s="10" t="s">
        <v>78</v>
      </c>
      <c r="J46" s="14" t="s">
        <v>79</v>
      </c>
      <c r="K46" s="15" t="s">
        <v>86</v>
      </c>
      <c r="L46" s="14" t="s">
        <v>87</v>
      </c>
      <c r="M46" s="72" t="s">
        <v>82</v>
      </c>
      <c r="N46" s="70">
        <v>1</v>
      </c>
      <c r="O46" s="70">
        <v>4</v>
      </c>
      <c r="P46" s="70">
        <v>2</v>
      </c>
      <c r="Q46" s="70">
        <v>1</v>
      </c>
      <c r="R46" s="70">
        <v>0</v>
      </c>
      <c r="S46" s="70">
        <v>5</v>
      </c>
      <c r="T46" s="70">
        <v>3</v>
      </c>
      <c r="U46" s="70">
        <v>2</v>
      </c>
      <c r="V46" s="70">
        <v>0</v>
      </c>
      <c r="W46" s="71" t="s">
        <v>83</v>
      </c>
      <c r="X46" s="72">
        <v>0</v>
      </c>
    </row>
    <row r="47" spans="1:24">
      <c r="A47" s="10" t="s">
        <v>194</v>
      </c>
      <c r="B47" s="10" t="s">
        <v>192</v>
      </c>
      <c r="C47" s="13" t="s">
        <v>195</v>
      </c>
      <c r="D47" s="10" t="s">
        <v>20</v>
      </c>
      <c r="E47" s="10" t="s">
        <v>76</v>
      </c>
      <c r="F47" s="13" t="s">
        <v>42</v>
      </c>
      <c r="G47" s="10" t="s">
        <v>8</v>
      </c>
      <c r="H47" s="10" t="s">
        <v>77</v>
      </c>
      <c r="I47" s="10" t="s">
        <v>78</v>
      </c>
      <c r="J47" s="14" t="s">
        <v>79</v>
      </c>
      <c r="K47" s="15" t="s">
        <v>86</v>
      </c>
      <c r="L47" s="14" t="s">
        <v>87</v>
      </c>
      <c r="M47" s="72" t="s">
        <v>124</v>
      </c>
      <c r="N47" s="70">
        <v>0</v>
      </c>
      <c r="O47" s="70">
        <v>0</v>
      </c>
      <c r="P47" s="70">
        <v>0</v>
      </c>
      <c r="Q47" s="70">
        <v>0</v>
      </c>
      <c r="R47" s="70">
        <v>0</v>
      </c>
      <c r="S47" s="70">
        <v>0</v>
      </c>
      <c r="T47" s="70">
        <v>1</v>
      </c>
      <c r="U47" s="70">
        <v>1</v>
      </c>
      <c r="V47" s="70">
        <v>0</v>
      </c>
      <c r="W47" s="71" t="s">
        <v>83</v>
      </c>
      <c r="X47" s="73" t="s">
        <v>125</v>
      </c>
    </row>
    <row r="48" spans="1:24">
      <c r="A48" s="10" t="s">
        <v>196</v>
      </c>
      <c r="B48" s="10" t="s">
        <v>197</v>
      </c>
      <c r="C48" s="13" t="s">
        <v>198</v>
      </c>
      <c r="D48" s="10" t="s">
        <v>23</v>
      </c>
      <c r="E48" s="10" t="s">
        <v>76</v>
      </c>
      <c r="F48" s="13" t="s">
        <v>32</v>
      </c>
      <c r="G48" s="10" t="s">
        <v>8</v>
      </c>
      <c r="H48" s="10" t="s">
        <v>77</v>
      </c>
      <c r="I48" s="10" t="s">
        <v>78</v>
      </c>
      <c r="J48" s="14" t="s">
        <v>79</v>
      </c>
      <c r="K48" s="15" t="s">
        <v>86</v>
      </c>
      <c r="L48" s="14" t="s">
        <v>87</v>
      </c>
      <c r="M48" s="72" t="s">
        <v>124</v>
      </c>
      <c r="N48" s="70">
        <v>0</v>
      </c>
      <c r="O48" s="70">
        <v>0</v>
      </c>
      <c r="P48" s="70">
        <v>0</v>
      </c>
      <c r="Q48" s="70">
        <v>0</v>
      </c>
      <c r="R48" s="70">
        <v>0</v>
      </c>
      <c r="S48" s="70">
        <v>0</v>
      </c>
      <c r="T48" s="70">
        <v>1</v>
      </c>
      <c r="U48" s="70">
        <v>1</v>
      </c>
      <c r="V48" s="70">
        <v>0</v>
      </c>
      <c r="W48" s="71" t="s">
        <v>83</v>
      </c>
      <c r="X48" s="73" t="s">
        <v>125</v>
      </c>
    </row>
    <row r="49" spans="1:24">
      <c r="A49" s="10" t="s">
        <v>199</v>
      </c>
      <c r="B49" s="10" t="s">
        <v>197</v>
      </c>
      <c r="C49" s="13" t="s">
        <v>200</v>
      </c>
      <c r="D49" s="10" t="s">
        <v>23</v>
      </c>
      <c r="E49" s="10" t="s">
        <v>76</v>
      </c>
      <c r="F49" s="13" t="s">
        <v>41</v>
      </c>
      <c r="G49" s="10" t="s">
        <v>7</v>
      </c>
      <c r="H49" s="10" t="s">
        <v>77</v>
      </c>
      <c r="I49" s="10" t="s">
        <v>78</v>
      </c>
      <c r="J49" s="14" t="s">
        <v>79</v>
      </c>
      <c r="K49" s="15" t="s">
        <v>86</v>
      </c>
      <c r="L49" s="14" t="s">
        <v>87</v>
      </c>
      <c r="M49" s="72" t="s">
        <v>82</v>
      </c>
      <c r="N49" s="70">
        <v>1</v>
      </c>
      <c r="O49" s="70">
        <v>4</v>
      </c>
      <c r="P49" s="70">
        <v>0</v>
      </c>
      <c r="Q49" s="70">
        <v>2</v>
      </c>
      <c r="R49" s="70">
        <v>1</v>
      </c>
      <c r="S49" s="70">
        <v>5</v>
      </c>
      <c r="T49" s="70">
        <v>0</v>
      </c>
      <c r="U49" s="70">
        <v>3</v>
      </c>
      <c r="V49" s="70">
        <v>1</v>
      </c>
      <c r="W49" s="71" t="s">
        <v>83</v>
      </c>
      <c r="X49" s="72">
        <v>0</v>
      </c>
    </row>
    <row r="50" spans="1:24">
      <c r="A50" s="10" t="s">
        <v>201</v>
      </c>
      <c r="B50" s="10" t="s">
        <v>197</v>
      </c>
      <c r="C50" s="13" t="s">
        <v>202</v>
      </c>
      <c r="D50" s="10" t="s">
        <v>23</v>
      </c>
      <c r="E50" s="10" t="s">
        <v>76</v>
      </c>
      <c r="F50" s="13" t="s">
        <v>30</v>
      </c>
      <c r="G50" s="10" t="s">
        <v>8</v>
      </c>
      <c r="H50" s="10" t="s">
        <v>77</v>
      </c>
      <c r="I50" s="10" t="s">
        <v>78</v>
      </c>
      <c r="J50" s="14" t="s">
        <v>79</v>
      </c>
      <c r="K50" s="15" t="s">
        <v>86</v>
      </c>
      <c r="L50" s="14" t="s">
        <v>87</v>
      </c>
      <c r="M50" s="72" t="s">
        <v>82</v>
      </c>
      <c r="N50" s="70">
        <v>1</v>
      </c>
      <c r="O50" s="70">
        <v>0</v>
      </c>
      <c r="P50" s="70">
        <v>0</v>
      </c>
      <c r="Q50" s="70">
        <v>0</v>
      </c>
      <c r="R50" s="70">
        <v>0</v>
      </c>
      <c r="S50" s="70">
        <v>1</v>
      </c>
      <c r="T50" s="70">
        <v>1</v>
      </c>
      <c r="U50" s="70">
        <v>1</v>
      </c>
      <c r="V50" s="70">
        <v>0</v>
      </c>
      <c r="W50" s="71" t="s">
        <v>83</v>
      </c>
      <c r="X50" s="72">
        <v>0</v>
      </c>
    </row>
    <row r="51" spans="1:24">
      <c r="A51" s="10" t="s">
        <v>203</v>
      </c>
      <c r="B51" s="10" t="s">
        <v>197</v>
      </c>
      <c r="C51" s="13" t="s">
        <v>204</v>
      </c>
      <c r="D51" s="10" t="s">
        <v>23</v>
      </c>
      <c r="E51" s="10" t="s">
        <v>76</v>
      </c>
      <c r="F51" s="13" t="s">
        <v>33</v>
      </c>
      <c r="G51" s="10" t="s">
        <v>8</v>
      </c>
      <c r="H51" s="10" t="s">
        <v>77</v>
      </c>
      <c r="I51" s="10" t="s">
        <v>128</v>
      </c>
      <c r="J51" s="14" t="s">
        <v>79</v>
      </c>
      <c r="K51" s="15" t="s">
        <v>86</v>
      </c>
      <c r="L51" s="14" t="s">
        <v>87</v>
      </c>
      <c r="M51" s="72" t="s">
        <v>82</v>
      </c>
      <c r="N51" s="70">
        <v>1</v>
      </c>
      <c r="O51" s="70">
        <v>0</v>
      </c>
      <c r="P51" s="70">
        <v>0</v>
      </c>
      <c r="Q51" s="70">
        <v>0</v>
      </c>
      <c r="R51" s="70">
        <v>0</v>
      </c>
      <c r="S51" s="70">
        <v>1</v>
      </c>
      <c r="T51" s="70">
        <v>1</v>
      </c>
      <c r="U51" s="70">
        <v>1</v>
      </c>
      <c r="V51" s="70">
        <v>1</v>
      </c>
      <c r="W51" s="71" t="s">
        <v>83</v>
      </c>
      <c r="X51" s="72">
        <v>0</v>
      </c>
    </row>
    <row r="52" spans="1:24">
      <c r="A52" s="10" t="s">
        <v>205</v>
      </c>
      <c r="B52" s="10" t="s">
        <v>197</v>
      </c>
      <c r="C52" s="13" t="s">
        <v>206</v>
      </c>
      <c r="D52" s="10" t="s">
        <v>23</v>
      </c>
      <c r="E52" s="10" t="s">
        <v>76</v>
      </c>
      <c r="F52" s="13" t="s">
        <v>32</v>
      </c>
      <c r="G52" s="10" t="s">
        <v>8</v>
      </c>
      <c r="H52" s="10" t="s">
        <v>77</v>
      </c>
      <c r="I52" s="10" t="s">
        <v>78</v>
      </c>
      <c r="J52" s="14" t="s">
        <v>79</v>
      </c>
      <c r="K52" s="15" t="s">
        <v>80</v>
      </c>
      <c r="L52" s="14" t="s">
        <v>81</v>
      </c>
      <c r="M52" s="72" t="s">
        <v>82</v>
      </c>
      <c r="N52" s="70">
        <v>1</v>
      </c>
      <c r="O52" s="70">
        <v>0</v>
      </c>
      <c r="P52" s="70">
        <v>0</v>
      </c>
      <c r="Q52" s="70">
        <v>0</v>
      </c>
      <c r="R52" s="70">
        <v>0</v>
      </c>
      <c r="S52" s="70">
        <v>1</v>
      </c>
      <c r="T52" s="70">
        <v>1</v>
      </c>
      <c r="U52" s="70">
        <v>1</v>
      </c>
      <c r="V52" s="70">
        <v>0</v>
      </c>
      <c r="W52" s="71" t="s">
        <v>83</v>
      </c>
      <c r="X52" s="72">
        <v>0</v>
      </c>
    </row>
    <row r="53" spans="1:24">
      <c r="A53" s="10" t="s">
        <v>207</v>
      </c>
      <c r="B53" s="10" t="s">
        <v>197</v>
      </c>
      <c r="C53" s="13" t="s">
        <v>208</v>
      </c>
      <c r="D53" s="10" t="s">
        <v>23</v>
      </c>
      <c r="E53" s="10" t="s">
        <v>76</v>
      </c>
      <c r="F53" s="13" t="s">
        <v>32</v>
      </c>
      <c r="G53" s="10" t="s">
        <v>8</v>
      </c>
      <c r="H53" s="10" t="s">
        <v>77</v>
      </c>
      <c r="I53" s="10" t="s">
        <v>78</v>
      </c>
      <c r="J53" s="14" t="s">
        <v>79</v>
      </c>
      <c r="K53" s="15" t="s">
        <v>86</v>
      </c>
      <c r="L53" s="14" t="s">
        <v>87</v>
      </c>
      <c r="M53" s="72" t="s">
        <v>124</v>
      </c>
      <c r="N53" s="70">
        <v>0</v>
      </c>
      <c r="O53" s="70">
        <v>2</v>
      </c>
      <c r="P53" s="70">
        <v>2</v>
      </c>
      <c r="Q53" s="70">
        <v>0</v>
      </c>
      <c r="R53" s="70">
        <v>1</v>
      </c>
      <c r="S53" s="70">
        <v>2</v>
      </c>
      <c r="T53" s="70">
        <v>3</v>
      </c>
      <c r="U53" s="70">
        <v>1</v>
      </c>
      <c r="V53" s="70">
        <v>1</v>
      </c>
      <c r="W53" s="71" t="s">
        <v>83</v>
      </c>
      <c r="X53" s="73" t="s">
        <v>209</v>
      </c>
    </row>
    <row r="54" spans="1:24">
      <c r="A54" s="10" t="s">
        <v>210</v>
      </c>
      <c r="B54" s="10" t="s">
        <v>197</v>
      </c>
      <c r="C54" s="13" t="s">
        <v>211</v>
      </c>
      <c r="D54" s="10" t="s">
        <v>23</v>
      </c>
      <c r="E54" s="10" t="s">
        <v>76</v>
      </c>
      <c r="F54" s="13" t="s">
        <v>32</v>
      </c>
      <c r="G54" s="10" t="s">
        <v>8</v>
      </c>
      <c r="H54" s="10" t="s">
        <v>77</v>
      </c>
      <c r="I54" s="10" t="s">
        <v>78</v>
      </c>
      <c r="J54" s="14" t="s">
        <v>79</v>
      </c>
      <c r="K54" s="15" t="s">
        <v>86</v>
      </c>
      <c r="L54" s="14" t="s">
        <v>87</v>
      </c>
      <c r="M54" s="72" t="s">
        <v>82</v>
      </c>
      <c r="N54" s="70">
        <v>1</v>
      </c>
      <c r="O54" s="70">
        <v>14</v>
      </c>
      <c r="P54" s="70">
        <v>6</v>
      </c>
      <c r="Q54" s="70">
        <v>5</v>
      </c>
      <c r="R54" s="70">
        <v>5</v>
      </c>
      <c r="S54" s="70">
        <v>15</v>
      </c>
      <c r="T54" s="70">
        <v>7</v>
      </c>
      <c r="U54" s="70">
        <v>6</v>
      </c>
      <c r="V54" s="70">
        <v>5</v>
      </c>
      <c r="W54" s="71" t="s">
        <v>83</v>
      </c>
      <c r="X54" s="72">
        <v>0</v>
      </c>
    </row>
    <row r="55" spans="1:24">
      <c r="A55" s="10" t="s">
        <v>212</v>
      </c>
      <c r="B55" s="10" t="s">
        <v>213</v>
      </c>
      <c r="C55" s="13" t="s">
        <v>214</v>
      </c>
      <c r="D55" s="10" t="s">
        <v>23</v>
      </c>
      <c r="E55" s="10" t="s">
        <v>76</v>
      </c>
      <c r="F55" s="13" t="s">
        <v>33</v>
      </c>
      <c r="G55" s="10" t="s">
        <v>8</v>
      </c>
      <c r="H55" s="10" t="s">
        <v>90</v>
      </c>
      <c r="I55" s="10" t="s">
        <v>78</v>
      </c>
      <c r="J55" s="14" t="s">
        <v>79</v>
      </c>
      <c r="K55" s="15" t="s">
        <v>86</v>
      </c>
      <c r="L55" s="14" t="s">
        <v>87</v>
      </c>
      <c r="M55" s="72" t="s">
        <v>82</v>
      </c>
      <c r="N55" s="70">
        <v>1</v>
      </c>
      <c r="O55" s="70">
        <v>3</v>
      </c>
      <c r="P55" s="70">
        <v>3</v>
      </c>
      <c r="Q55" s="70">
        <v>0</v>
      </c>
      <c r="R55" s="70">
        <v>0</v>
      </c>
      <c r="S55" s="70">
        <v>4</v>
      </c>
      <c r="T55" s="70">
        <v>4</v>
      </c>
      <c r="U55" s="70">
        <v>0</v>
      </c>
      <c r="V55" s="70">
        <v>0</v>
      </c>
      <c r="W55" s="71" t="s">
        <v>83</v>
      </c>
      <c r="X55" s="72">
        <v>0</v>
      </c>
    </row>
    <row r="56" spans="1:24">
      <c r="A56" s="10" t="s">
        <v>215</v>
      </c>
      <c r="B56" s="10" t="s">
        <v>213</v>
      </c>
      <c r="C56" s="13" t="s">
        <v>216</v>
      </c>
      <c r="D56" s="10" t="s">
        <v>23</v>
      </c>
      <c r="E56" s="10" t="s">
        <v>76</v>
      </c>
      <c r="F56" s="13" t="s">
        <v>31</v>
      </c>
      <c r="G56" s="10" t="s">
        <v>8</v>
      </c>
      <c r="H56" s="10" t="s">
        <v>77</v>
      </c>
      <c r="I56" s="10" t="s">
        <v>78</v>
      </c>
      <c r="J56" s="14" t="s">
        <v>79</v>
      </c>
      <c r="K56" s="15" t="s">
        <v>86</v>
      </c>
      <c r="L56" s="14" t="s">
        <v>87</v>
      </c>
      <c r="M56" s="72" t="s">
        <v>82</v>
      </c>
      <c r="N56" s="70">
        <v>1</v>
      </c>
      <c r="O56" s="70">
        <v>3</v>
      </c>
      <c r="P56" s="70">
        <v>3</v>
      </c>
      <c r="Q56" s="70">
        <v>1</v>
      </c>
      <c r="R56" s="70">
        <v>0</v>
      </c>
      <c r="S56" s="70">
        <v>4</v>
      </c>
      <c r="T56" s="70">
        <v>4</v>
      </c>
      <c r="U56" s="70">
        <v>2</v>
      </c>
      <c r="V56" s="70">
        <v>0</v>
      </c>
      <c r="W56" s="71" t="s">
        <v>83</v>
      </c>
      <c r="X56" s="72">
        <v>0</v>
      </c>
    </row>
    <row r="57" spans="1:24">
      <c r="A57" s="10" t="s">
        <v>217</v>
      </c>
      <c r="B57" s="10" t="s">
        <v>213</v>
      </c>
      <c r="C57" s="13" t="s">
        <v>218</v>
      </c>
      <c r="D57" s="10" t="s">
        <v>23</v>
      </c>
      <c r="E57" s="10" t="s">
        <v>76</v>
      </c>
      <c r="F57" s="13" t="s">
        <v>32</v>
      </c>
      <c r="G57" s="10" t="s">
        <v>8</v>
      </c>
      <c r="H57" s="10" t="s">
        <v>77</v>
      </c>
      <c r="I57" s="10" t="s">
        <v>78</v>
      </c>
      <c r="J57" s="14" t="s">
        <v>79</v>
      </c>
      <c r="K57" s="15" t="s">
        <v>86</v>
      </c>
      <c r="L57" s="14" t="s">
        <v>87</v>
      </c>
      <c r="M57" s="72" t="s">
        <v>82</v>
      </c>
      <c r="N57" s="70">
        <v>1</v>
      </c>
      <c r="O57" s="70">
        <v>6</v>
      </c>
      <c r="P57" s="70">
        <v>2</v>
      </c>
      <c r="Q57" s="70">
        <v>2</v>
      </c>
      <c r="R57" s="70">
        <v>1</v>
      </c>
      <c r="S57" s="70">
        <v>7</v>
      </c>
      <c r="T57" s="70">
        <v>3</v>
      </c>
      <c r="U57" s="70">
        <v>3</v>
      </c>
      <c r="V57" s="70">
        <v>1</v>
      </c>
      <c r="W57" s="71" t="s">
        <v>83</v>
      </c>
      <c r="X57" s="72">
        <v>0</v>
      </c>
    </row>
    <row r="58" spans="1:24">
      <c r="A58" s="10" t="s">
        <v>219</v>
      </c>
      <c r="B58" s="10" t="s">
        <v>213</v>
      </c>
      <c r="C58" s="13" t="s">
        <v>220</v>
      </c>
      <c r="D58" s="10" t="s">
        <v>23</v>
      </c>
      <c r="E58" s="10" t="s">
        <v>76</v>
      </c>
      <c r="F58" s="13" t="s">
        <v>39</v>
      </c>
      <c r="G58" s="10" t="s">
        <v>7</v>
      </c>
      <c r="H58" s="10" t="s">
        <v>77</v>
      </c>
      <c r="I58" s="10" t="s">
        <v>78</v>
      </c>
      <c r="J58" s="14" t="s">
        <v>79</v>
      </c>
      <c r="K58" s="15" t="s">
        <v>86</v>
      </c>
      <c r="L58" s="14" t="s">
        <v>87</v>
      </c>
      <c r="M58" s="72" t="s">
        <v>82</v>
      </c>
      <c r="N58" s="70">
        <v>1</v>
      </c>
      <c r="O58" s="70">
        <v>0</v>
      </c>
      <c r="P58" s="70">
        <v>0</v>
      </c>
      <c r="Q58" s="70">
        <v>0</v>
      </c>
      <c r="R58" s="70">
        <v>0</v>
      </c>
      <c r="S58" s="70">
        <v>1</v>
      </c>
      <c r="T58" s="70">
        <v>0</v>
      </c>
      <c r="U58" s="70">
        <v>1</v>
      </c>
      <c r="V58" s="70">
        <v>0</v>
      </c>
      <c r="W58" s="71" t="s">
        <v>83</v>
      </c>
      <c r="X58" s="72">
        <v>0</v>
      </c>
    </row>
    <row r="59" spans="1:24">
      <c r="A59" s="10" t="s">
        <v>221</v>
      </c>
      <c r="B59" s="10" t="s">
        <v>222</v>
      </c>
      <c r="C59" s="13" t="s">
        <v>223</v>
      </c>
      <c r="D59" s="10" t="s">
        <v>16</v>
      </c>
      <c r="E59" s="10" t="s">
        <v>224</v>
      </c>
      <c r="F59" s="13" t="s">
        <v>33</v>
      </c>
      <c r="G59" s="10" t="s">
        <v>8</v>
      </c>
      <c r="H59" s="10" t="s">
        <v>90</v>
      </c>
      <c r="I59" s="10" t="s">
        <v>78</v>
      </c>
      <c r="J59" s="14" t="s">
        <v>79</v>
      </c>
      <c r="K59" s="15" t="s">
        <v>86</v>
      </c>
      <c r="L59" s="14" t="s">
        <v>87</v>
      </c>
      <c r="M59" s="72" t="s">
        <v>82</v>
      </c>
      <c r="N59" s="70">
        <v>1</v>
      </c>
      <c r="O59" s="70">
        <v>0</v>
      </c>
      <c r="P59" s="70">
        <v>0</v>
      </c>
      <c r="Q59" s="70">
        <v>0</v>
      </c>
      <c r="R59" s="70">
        <v>0</v>
      </c>
      <c r="S59" s="70">
        <v>1</v>
      </c>
      <c r="T59" s="70">
        <v>1</v>
      </c>
      <c r="U59" s="70">
        <v>0</v>
      </c>
      <c r="V59" s="70">
        <v>0</v>
      </c>
      <c r="W59" s="71" t="s">
        <v>83</v>
      </c>
      <c r="X59" s="72">
        <v>0</v>
      </c>
    </row>
    <row r="60" spans="1:24">
      <c r="A60" s="10" t="s">
        <v>225</v>
      </c>
      <c r="B60" s="10" t="s">
        <v>222</v>
      </c>
      <c r="C60" s="13" t="s">
        <v>226</v>
      </c>
      <c r="D60" s="10" t="s">
        <v>16</v>
      </c>
      <c r="E60" s="10" t="s">
        <v>224</v>
      </c>
      <c r="F60" s="13" t="s">
        <v>33</v>
      </c>
      <c r="G60" s="10" t="s">
        <v>8</v>
      </c>
      <c r="H60" s="10" t="s">
        <v>77</v>
      </c>
      <c r="I60" s="10" t="s">
        <v>78</v>
      </c>
      <c r="J60" s="14" t="s">
        <v>79</v>
      </c>
      <c r="K60" s="15" t="s">
        <v>86</v>
      </c>
      <c r="L60" s="14" t="s">
        <v>87</v>
      </c>
      <c r="M60" s="72" t="s">
        <v>124</v>
      </c>
      <c r="N60" s="70">
        <v>0</v>
      </c>
      <c r="O60" s="70">
        <v>0</v>
      </c>
      <c r="P60" s="70">
        <v>0</v>
      </c>
      <c r="Q60" s="70">
        <v>0</v>
      </c>
      <c r="R60" s="70">
        <v>0</v>
      </c>
      <c r="S60" s="70">
        <v>0</v>
      </c>
      <c r="T60" s="70">
        <v>1</v>
      </c>
      <c r="U60" s="70">
        <v>1</v>
      </c>
      <c r="V60" s="70">
        <v>0</v>
      </c>
      <c r="W60" s="71" t="s">
        <v>83</v>
      </c>
      <c r="X60" s="73" t="s">
        <v>125</v>
      </c>
    </row>
    <row r="61" spans="1:24">
      <c r="A61" s="10" t="s">
        <v>227</v>
      </c>
      <c r="B61" s="10" t="s">
        <v>222</v>
      </c>
      <c r="C61" s="13" t="s">
        <v>228</v>
      </c>
      <c r="D61" s="10" t="s">
        <v>16</v>
      </c>
      <c r="E61" s="10" t="s">
        <v>224</v>
      </c>
      <c r="F61" s="13" t="s">
        <v>33</v>
      </c>
      <c r="G61" s="10" t="s">
        <v>7</v>
      </c>
      <c r="H61" s="10" t="s">
        <v>77</v>
      </c>
      <c r="I61" s="10" t="s">
        <v>78</v>
      </c>
      <c r="J61" s="14" t="s">
        <v>79</v>
      </c>
      <c r="K61" s="15" t="s">
        <v>80</v>
      </c>
      <c r="L61" s="14" t="s">
        <v>81</v>
      </c>
      <c r="M61" s="72" t="s">
        <v>82</v>
      </c>
      <c r="N61" s="70">
        <v>1</v>
      </c>
      <c r="O61" s="70">
        <v>6</v>
      </c>
      <c r="P61" s="70">
        <v>4</v>
      </c>
      <c r="Q61" s="70">
        <v>6</v>
      </c>
      <c r="R61" s="70">
        <v>0</v>
      </c>
      <c r="S61" s="70">
        <v>7</v>
      </c>
      <c r="T61" s="70">
        <v>4</v>
      </c>
      <c r="U61" s="70">
        <v>7</v>
      </c>
      <c r="V61" s="70">
        <v>0</v>
      </c>
      <c r="W61" s="71" t="s">
        <v>83</v>
      </c>
      <c r="X61" s="72">
        <v>0</v>
      </c>
    </row>
    <row r="62" spans="1:24">
      <c r="A62" s="10" t="s">
        <v>229</v>
      </c>
      <c r="B62" s="10" t="s">
        <v>222</v>
      </c>
      <c r="C62" s="13" t="s">
        <v>230</v>
      </c>
      <c r="D62" s="10" t="s">
        <v>16</v>
      </c>
      <c r="E62" s="10" t="s">
        <v>224</v>
      </c>
      <c r="F62" s="13" t="s">
        <v>42</v>
      </c>
      <c r="G62" s="10" t="s">
        <v>7</v>
      </c>
      <c r="H62" s="10" t="s">
        <v>77</v>
      </c>
      <c r="I62" s="10" t="s">
        <v>78</v>
      </c>
      <c r="J62" s="14" t="s">
        <v>79</v>
      </c>
      <c r="K62" s="15" t="s">
        <v>86</v>
      </c>
      <c r="L62" s="14" t="s">
        <v>87</v>
      </c>
      <c r="M62" s="72" t="s">
        <v>82</v>
      </c>
      <c r="N62" s="70">
        <v>1</v>
      </c>
      <c r="O62" s="70">
        <v>6</v>
      </c>
      <c r="P62" s="70">
        <v>2</v>
      </c>
      <c r="Q62" s="70">
        <v>4</v>
      </c>
      <c r="R62" s="70">
        <v>0</v>
      </c>
      <c r="S62" s="70">
        <v>7</v>
      </c>
      <c r="T62" s="70">
        <v>2</v>
      </c>
      <c r="U62" s="70">
        <v>5</v>
      </c>
      <c r="V62" s="70">
        <v>0</v>
      </c>
      <c r="W62" s="71" t="s">
        <v>83</v>
      </c>
      <c r="X62" s="72">
        <v>0</v>
      </c>
    </row>
    <row r="63" spans="1:24">
      <c r="A63" s="10" t="s">
        <v>231</v>
      </c>
      <c r="B63" s="10" t="s">
        <v>222</v>
      </c>
      <c r="C63" s="13" t="s">
        <v>232</v>
      </c>
      <c r="D63" s="10" t="s">
        <v>16</v>
      </c>
      <c r="E63" s="10" t="s">
        <v>224</v>
      </c>
      <c r="F63" s="13" t="s">
        <v>40</v>
      </c>
      <c r="G63" s="10" t="s">
        <v>8</v>
      </c>
      <c r="H63" s="10" t="s">
        <v>77</v>
      </c>
      <c r="I63" s="10" t="s">
        <v>78</v>
      </c>
      <c r="J63" s="14" t="s">
        <v>79</v>
      </c>
      <c r="K63" s="15" t="s">
        <v>80</v>
      </c>
      <c r="L63" s="14" t="s">
        <v>81</v>
      </c>
      <c r="M63" s="72" t="s">
        <v>124</v>
      </c>
      <c r="N63" s="70">
        <v>0</v>
      </c>
      <c r="O63" s="70">
        <v>1</v>
      </c>
      <c r="P63" s="70">
        <v>1</v>
      </c>
      <c r="Q63" s="70">
        <v>1</v>
      </c>
      <c r="R63" s="70">
        <v>0</v>
      </c>
      <c r="S63" s="70">
        <v>1</v>
      </c>
      <c r="T63" s="70">
        <v>2</v>
      </c>
      <c r="U63" s="70">
        <v>2</v>
      </c>
      <c r="V63" s="70">
        <v>0</v>
      </c>
      <c r="W63" s="71" t="s">
        <v>83</v>
      </c>
      <c r="X63" s="73" t="s">
        <v>125</v>
      </c>
    </row>
    <row r="64" spans="1:24">
      <c r="A64" s="10" t="s">
        <v>233</v>
      </c>
      <c r="B64" s="10" t="s">
        <v>222</v>
      </c>
      <c r="C64" s="13" t="s">
        <v>234</v>
      </c>
      <c r="D64" s="10" t="s">
        <v>16</v>
      </c>
      <c r="E64" s="10" t="s">
        <v>224</v>
      </c>
      <c r="F64" s="13" t="s">
        <v>42</v>
      </c>
      <c r="G64" s="10" t="s">
        <v>8</v>
      </c>
      <c r="H64" s="10" t="s">
        <v>77</v>
      </c>
      <c r="I64" s="10" t="s">
        <v>78</v>
      </c>
      <c r="J64" s="14" t="s">
        <v>79</v>
      </c>
      <c r="K64" s="15" t="s">
        <v>80</v>
      </c>
      <c r="L64" s="14" t="s">
        <v>81</v>
      </c>
      <c r="M64" s="72" t="s">
        <v>82</v>
      </c>
      <c r="N64" s="70">
        <v>1</v>
      </c>
      <c r="O64" s="70">
        <v>0</v>
      </c>
      <c r="P64" s="70">
        <v>0</v>
      </c>
      <c r="Q64" s="70">
        <v>0</v>
      </c>
      <c r="R64" s="70">
        <v>0</v>
      </c>
      <c r="S64" s="70">
        <v>1</v>
      </c>
      <c r="T64" s="70">
        <v>1</v>
      </c>
      <c r="U64" s="70">
        <v>1</v>
      </c>
      <c r="V64" s="70">
        <v>0</v>
      </c>
      <c r="W64" s="71" t="s">
        <v>83</v>
      </c>
      <c r="X64" s="72">
        <v>0</v>
      </c>
    </row>
    <row r="65" spans="1:24">
      <c r="A65" s="10" t="s">
        <v>235</v>
      </c>
      <c r="B65" s="10" t="s">
        <v>236</v>
      </c>
      <c r="C65" s="13" t="s">
        <v>237</v>
      </c>
      <c r="D65" s="10" t="s">
        <v>19</v>
      </c>
      <c r="E65" s="10" t="s">
        <v>224</v>
      </c>
      <c r="F65" s="13" t="s">
        <v>42</v>
      </c>
      <c r="G65" s="10" t="s">
        <v>8</v>
      </c>
      <c r="H65" s="10" t="s">
        <v>77</v>
      </c>
      <c r="I65" s="10" t="s">
        <v>128</v>
      </c>
      <c r="J65" s="14" t="s">
        <v>79</v>
      </c>
      <c r="K65" s="15" t="s">
        <v>86</v>
      </c>
      <c r="L65" s="14" t="s">
        <v>87</v>
      </c>
      <c r="M65" s="72" t="s">
        <v>124</v>
      </c>
      <c r="N65" s="70">
        <v>0</v>
      </c>
      <c r="O65" s="70">
        <v>0</v>
      </c>
      <c r="P65" s="70">
        <v>0</v>
      </c>
      <c r="Q65" s="70">
        <v>0</v>
      </c>
      <c r="R65" s="70">
        <v>0</v>
      </c>
      <c r="S65" s="70">
        <v>0</v>
      </c>
      <c r="T65" s="70">
        <v>1</v>
      </c>
      <c r="U65" s="70">
        <v>1</v>
      </c>
      <c r="V65" s="70">
        <v>1</v>
      </c>
      <c r="W65" s="71" t="s">
        <v>83</v>
      </c>
      <c r="X65" s="73" t="s">
        <v>238</v>
      </c>
    </row>
    <row r="66" spans="1:24">
      <c r="A66" s="10" t="s">
        <v>239</v>
      </c>
      <c r="B66" s="10" t="s">
        <v>240</v>
      </c>
      <c r="C66" s="13" t="s">
        <v>241</v>
      </c>
      <c r="D66" s="10" t="s">
        <v>23</v>
      </c>
      <c r="E66" s="10" t="s">
        <v>224</v>
      </c>
      <c r="F66" s="13" t="s">
        <v>37</v>
      </c>
      <c r="G66" s="10" t="s">
        <v>8</v>
      </c>
      <c r="H66" s="10" t="s">
        <v>77</v>
      </c>
      <c r="I66" s="10" t="s">
        <v>78</v>
      </c>
      <c r="J66" s="14" t="s">
        <v>79</v>
      </c>
      <c r="K66" s="15" t="s">
        <v>80</v>
      </c>
      <c r="L66" s="14" t="s">
        <v>81</v>
      </c>
      <c r="M66" s="72" t="s">
        <v>124</v>
      </c>
      <c r="N66" s="70">
        <v>0</v>
      </c>
      <c r="O66" s="70">
        <v>0</v>
      </c>
      <c r="P66" s="70">
        <v>0</v>
      </c>
      <c r="Q66" s="70">
        <v>0</v>
      </c>
      <c r="R66" s="70">
        <v>0</v>
      </c>
      <c r="S66" s="70">
        <v>0</v>
      </c>
      <c r="T66" s="70">
        <v>1</v>
      </c>
      <c r="U66" s="70">
        <v>1</v>
      </c>
      <c r="V66" s="70">
        <v>0</v>
      </c>
      <c r="W66" s="71" t="s">
        <v>83</v>
      </c>
      <c r="X66" s="73" t="s">
        <v>125</v>
      </c>
    </row>
    <row r="67" spans="1:24">
      <c r="A67" s="10" t="s">
        <v>242</v>
      </c>
      <c r="B67" s="10" t="s">
        <v>240</v>
      </c>
      <c r="C67" s="13" t="s">
        <v>243</v>
      </c>
      <c r="D67" s="10" t="s">
        <v>23</v>
      </c>
      <c r="E67" s="10" t="s">
        <v>224</v>
      </c>
      <c r="F67" s="13" t="s">
        <v>33</v>
      </c>
      <c r="G67" s="10" t="s">
        <v>8</v>
      </c>
      <c r="H67" s="10" t="s">
        <v>77</v>
      </c>
      <c r="I67" s="10" t="s">
        <v>78</v>
      </c>
      <c r="J67" s="14" t="s">
        <v>79</v>
      </c>
      <c r="K67" s="15" t="s">
        <v>80</v>
      </c>
      <c r="L67" s="14" t="s">
        <v>81</v>
      </c>
      <c r="M67" s="72" t="s">
        <v>124</v>
      </c>
      <c r="N67" s="70">
        <v>0</v>
      </c>
      <c r="O67" s="70">
        <v>0</v>
      </c>
      <c r="P67" s="70">
        <v>0</v>
      </c>
      <c r="Q67" s="70">
        <v>0</v>
      </c>
      <c r="R67" s="70">
        <v>0</v>
      </c>
      <c r="S67" s="70">
        <v>0</v>
      </c>
      <c r="T67" s="70">
        <v>1</v>
      </c>
      <c r="U67" s="70">
        <v>1</v>
      </c>
      <c r="V67" s="70">
        <v>0</v>
      </c>
      <c r="W67" s="71" t="s">
        <v>83</v>
      </c>
      <c r="X67" s="73" t="s">
        <v>125</v>
      </c>
    </row>
    <row r="68" spans="1:24">
      <c r="A68" s="10" t="s">
        <v>244</v>
      </c>
      <c r="B68" s="10" t="s">
        <v>240</v>
      </c>
      <c r="C68" s="13" t="s">
        <v>245</v>
      </c>
      <c r="D68" s="10" t="s">
        <v>23</v>
      </c>
      <c r="E68" s="10" t="s">
        <v>224</v>
      </c>
      <c r="F68" s="13" t="s">
        <v>33</v>
      </c>
      <c r="G68" s="10" t="s">
        <v>8</v>
      </c>
      <c r="H68" s="10" t="s">
        <v>90</v>
      </c>
      <c r="I68" s="10" t="s">
        <v>78</v>
      </c>
      <c r="J68" s="14" t="s">
        <v>79</v>
      </c>
      <c r="K68" s="15" t="s">
        <v>86</v>
      </c>
      <c r="L68" s="14" t="s">
        <v>87</v>
      </c>
      <c r="M68" s="72" t="s">
        <v>124</v>
      </c>
      <c r="N68" s="70">
        <v>0</v>
      </c>
      <c r="O68" s="70">
        <v>0</v>
      </c>
      <c r="P68" s="70">
        <v>0</v>
      </c>
      <c r="Q68" s="70">
        <v>0</v>
      </c>
      <c r="R68" s="70">
        <v>0</v>
      </c>
      <c r="S68" s="70">
        <v>0</v>
      </c>
      <c r="T68" s="70">
        <v>1</v>
      </c>
      <c r="U68" s="70">
        <v>0</v>
      </c>
      <c r="V68" s="70">
        <v>0</v>
      </c>
      <c r="W68" s="71" t="s">
        <v>83</v>
      </c>
      <c r="X68" s="73" t="s">
        <v>209</v>
      </c>
    </row>
    <row r="69" spans="1:24">
      <c r="A69" s="10" t="s">
        <v>246</v>
      </c>
      <c r="B69" s="10" t="s">
        <v>240</v>
      </c>
      <c r="C69" s="13" t="s">
        <v>247</v>
      </c>
      <c r="D69" s="10" t="s">
        <v>23</v>
      </c>
      <c r="E69" s="10" t="s">
        <v>224</v>
      </c>
      <c r="F69" s="13" t="s">
        <v>37</v>
      </c>
      <c r="G69" s="10" t="s">
        <v>8</v>
      </c>
      <c r="H69" s="10" t="s">
        <v>77</v>
      </c>
      <c r="I69" s="10" t="s">
        <v>78</v>
      </c>
      <c r="J69" s="14" t="s">
        <v>79</v>
      </c>
      <c r="K69" s="15" t="s">
        <v>80</v>
      </c>
      <c r="L69" s="14" t="s">
        <v>81</v>
      </c>
      <c r="M69" s="72" t="s">
        <v>124</v>
      </c>
      <c r="N69" s="70">
        <v>0</v>
      </c>
      <c r="O69" s="70">
        <v>0</v>
      </c>
      <c r="P69" s="70">
        <v>0</v>
      </c>
      <c r="Q69" s="70">
        <v>0</v>
      </c>
      <c r="R69" s="70">
        <v>0</v>
      </c>
      <c r="S69" s="70">
        <v>0</v>
      </c>
      <c r="T69" s="70">
        <v>1</v>
      </c>
      <c r="U69" s="70">
        <v>1</v>
      </c>
      <c r="V69" s="70">
        <v>0</v>
      </c>
      <c r="W69" s="71" t="s">
        <v>83</v>
      </c>
      <c r="X69" s="73" t="s">
        <v>125</v>
      </c>
    </row>
    <row r="70" spans="1:24">
      <c r="A70" s="10" t="s">
        <v>248</v>
      </c>
      <c r="B70" s="10" t="s">
        <v>240</v>
      </c>
      <c r="C70" s="13" t="s">
        <v>249</v>
      </c>
      <c r="D70" s="10" t="s">
        <v>23</v>
      </c>
      <c r="E70" s="10" t="s">
        <v>224</v>
      </c>
      <c r="F70" s="13" t="s">
        <v>33</v>
      </c>
      <c r="G70" s="10" t="s">
        <v>8</v>
      </c>
      <c r="H70" s="10" t="s">
        <v>90</v>
      </c>
      <c r="I70" s="10" t="s">
        <v>78</v>
      </c>
      <c r="J70" s="14" t="s">
        <v>79</v>
      </c>
      <c r="K70" s="15" t="s">
        <v>86</v>
      </c>
      <c r="L70" s="14" t="s">
        <v>87</v>
      </c>
      <c r="M70" s="72" t="s">
        <v>124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1</v>
      </c>
      <c r="U70" s="70">
        <v>0</v>
      </c>
      <c r="V70" s="70">
        <v>0</v>
      </c>
      <c r="W70" s="71" t="s">
        <v>83</v>
      </c>
      <c r="X70" s="73" t="s">
        <v>209</v>
      </c>
    </row>
    <row r="71" spans="1:24">
      <c r="A71" s="10" t="s">
        <v>250</v>
      </c>
      <c r="B71" s="10" t="s">
        <v>251</v>
      </c>
      <c r="C71" s="13" t="s">
        <v>252</v>
      </c>
      <c r="D71" s="10" t="s">
        <v>15</v>
      </c>
      <c r="E71" s="10" t="s">
        <v>253</v>
      </c>
      <c r="F71" s="13" t="s">
        <v>42</v>
      </c>
      <c r="G71" s="10" t="s">
        <v>7</v>
      </c>
      <c r="H71" s="10" t="s">
        <v>77</v>
      </c>
      <c r="I71" s="10" t="s">
        <v>78</v>
      </c>
      <c r="J71" s="14" t="s">
        <v>79</v>
      </c>
      <c r="K71" s="15" t="s">
        <v>86</v>
      </c>
      <c r="L71" s="14" t="s">
        <v>87</v>
      </c>
      <c r="M71" s="72" t="s">
        <v>82</v>
      </c>
      <c r="N71" s="70">
        <v>1</v>
      </c>
      <c r="O71" s="70">
        <v>10</v>
      </c>
      <c r="P71" s="70">
        <v>4</v>
      </c>
      <c r="Q71" s="70">
        <v>3</v>
      </c>
      <c r="R71" s="70">
        <v>0</v>
      </c>
      <c r="S71" s="70">
        <v>11</v>
      </c>
      <c r="T71" s="70">
        <v>4</v>
      </c>
      <c r="U71" s="70">
        <v>4</v>
      </c>
      <c r="V71" s="70">
        <v>0</v>
      </c>
      <c r="W71" s="74" t="s">
        <v>254</v>
      </c>
      <c r="X71" s="72">
        <v>0</v>
      </c>
    </row>
    <row r="72" spans="1:24">
      <c r="A72" s="10" t="s">
        <v>255</v>
      </c>
      <c r="B72" s="10" t="s">
        <v>251</v>
      </c>
      <c r="C72" s="13" t="s">
        <v>256</v>
      </c>
      <c r="D72" s="10" t="s">
        <v>15</v>
      </c>
      <c r="E72" s="10" t="s">
        <v>253</v>
      </c>
      <c r="F72" s="13" t="s">
        <v>42</v>
      </c>
      <c r="G72" s="10" t="s">
        <v>7</v>
      </c>
      <c r="H72" s="10" t="s">
        <v>77</v>
      </c>
      <c r="I72" s="10" t="s">
        <v>78</v>
      </c>
      <c r="J72" s="14" t="s">
        <v>79</v>
      </c>
      <c r="K72" s="15" t="s">
        <v>86</v>
      </c>
      <c r="L72" s="14" t="s">
        <v>87</v>
      </c>
      <c r="M72" s="72" t="s">
        <v>82</v>
      </c>
      <c r="N72" s="70">
        <v>1</v>
      </c>
      <c r="O72" s="70">
        <v>1</v>
      </c>
      <c r="P72" s="70">
        <v>1</v>
      </c>
      <c r="Q72" s="70">
        <v>1</v>
      </c>
      <c r="R72" s="70">
        <v>0</v>
      </c>
      <c r="S72" s="70">
        <v>2</v>
      </c>
      <c r="T72" s="70">
        <v>1</v>
      </c>
      <c r="U72" s="70">
        <v>2</v>
      </c>
      <c r="V72" s="70">
        <v>0</v>
      </c>
      <c r="W72" s="74" t="s">
        <v>254</v>
      </c>
      <c r="X72" s="72">
        <v>0</v>
      </c>
    </row>
    <row r="73" spans="1:24">
      <c r="A73" s="10" t="s">
        <v>257</v>
      </c>
      <c r="B73" s="10" t="s">
        <v>251</v>
      </c>
      <c r="C73" s="13" t="s">
        <v>258</v>
      </c>
      <c r="D73" s="10" t="s">
        <v>15</v>
      </c>
      <c r="E73" s="10" t="s">
        <v>253</v>
      </c>
      <c r="F73" s="13" t="s">
        <v>40</v>
      </c>
      <c r="G73" s="10" t="s">
        <v>7</v>
      </c>
      <c r="H73" s="10" t="s">
        <v>77</v>
      </c>
      <c r="I73" s="10" t="s">
        <v>78</v>
      </c>
      <c r="J73" s="14" t="s">
        <v>79</v>
      </c>
      <c r="K73" s="15" t="s">
        <v>80</v>
      </c>
      <c r="L73" s="14" t="s">
        <v>81</v>
      </c>
      <c r="M73" s="72" t="s">
        <v>82</v>
      </c>
      <c r="N73" s="70">
        <v>1</v>
      </c>
      <c r="O73" s="70">
        <v>16</v>
      </c>
      <c r="P73" s="70">
        <v>2</v>
      </c>
      <c r="Q73" s="70">
        <v>5</v>
      </c>
      <c r="R73" s="70">
        <v>0</v>
      </c>
      <c r="S73" s="70">
        <v>17</v>
      </c>
      <c r="T73" s="70">
        <v>2</v>
      </c>
      <c r="U73" s="70">
        <v>6</v>
      </c>
      <c r="V73" s="70">
        <v>0</v>
      </c>
      <c r="W73" s="74" t="s">
        <v>254</v>
      </c>
      <c r="X73" s="72">
        <v>0</v>
      </c>
    </row>
    <row r="74" spans="1:24">
      <c r="A74" s="10" t="s">
        <v>259</v>
      </c>
      <c r="B74" s="10" t="s">
        <v>251</v>
      </c>
      <c r="C74" s="13" t="s">
        <v>260</v>
      </c>
      <c r="D74" s="10" t="s">
        <v>15</v>
      </c>
      <c r="E74" s="10" t="s">
        <v>253</v>
      </c>
      <c r="F74" s="13" t="s">
        <v>34</v>
      </c>
      <c r="G74" s="10" t="s">
        <v>7</v>
      </c>
      <c r="H74" s="10" t="s">
        <v>179</v>
      </c>
      <c r="I74" s="10" t="s">
        <v>78</v>
      </c>
      <c r="J74" s="14" t="s">
        <v>79</v>
      </c>
      <c r="K74" s="15" t="s">
        <v>80</v>
      </c>
      <c r="L74" s="14" t="s">
        <v>81</v>
      </c>
      <c r="M74" s="72" t="s">
        <v>82</v>
      </c>
      <c r="N74" s="70">
        <v>1</v>
      </c>
      <c r="O74" s="70">
        <v>8</v>
      </c>
      <c r="P74" s="70">
        <v>3</v>
      </c>
      <c r="Q74" s="70">
        <v>5</v>
      </c>
      <c r="R74" s="70">
        <v>0</v>
      </c>
      <c r="S74" s="70">
        <v>9</v>
      </c>
      <c r="T74" s="70">
        <v>3</v>
      </c>
      <c r="U74" s="70">
        <v>5</v>
      </c>
      <c r="V74" s="70">
        <v>0</v>
      </c>
      <c r="W74" s="74" t="s">
        <v>254</v>
      </c>
      <c r="X74" s="72">
        <v>0</v>
      </c>
    </row>
    <row r="75" spans="1:24">
      <c r="A75" s="10" t="s">
        <v>261</v>
      </c>
      <c r="B75" s="10" t="s">
        <v>251</v>
      </c>
      <c r="C75" s="13" t="s">
        <v>262</v>
      </c>
      <c r="D75" s="10" t="s">
        <v>15</v>
      </c>
      <c r="E75" s="10" t="s">
        <v>253</v>
      </c>
      <c r="F75" s="13" t="s">
        <v>34</v>
      </c>
      <c r="G75" s="10" t="s">
        <v>7</v>
      </c>
      <c r="H75" s="10" t="s">
        <v>263</v>
      </c>
      <c r="I75" s="10" t="s">
        <v>78</v>
      </c>
      <c r="J75" s="14" t="s">
        <v>79</v>
      </c>
      <c r="K75" s="15" t="s">
        <v>86</v>
      </c>
      <c r="L75" s="14" t="s">
        <v>87</v>
      </c>
      <c r="M75" s="72" t="s">
        <v>82</v>
      </c>
      <c r="N75" s="70">
        <v>1</v>
      </c>
      <c r="O75" s="70">
        <v>3</v>
      </c>
      <c r="P75" s="70">
        <v>0</v>
      </c>
      <c r="Q75" s="70">
        <v>1</v>
      </c>
      <c r="R75" s="70">
        <v>0</v>
      </c>
      <c r="S75" s="70">
        <v>4</v>
      </c>
      <c r="T75" s="70">
        <v>0</v>
      </c>
      <c r="U75" s="70">
        <v>1</v>
      </c>
      <c r="V75" s="70">
        <v>0</v>
      </c>
      <c r="W75" s="74" t="s">
        <v>254</v>
      </c>
      <c r="X75" s="72">
        <v>0</v>
      </c>
    </row>
    <row r="76" spans="1:24">
      <c r="A76" s="10" t="s">
        <v>264</v>
      </c>
      <c r="B76" s="10" t="s">
        <v>251</v>
      </c>
      <c r="C76" s="13" t="s">
        <v>265</v>
      </c>
      <c r="D76" s="10" t="s">
        <v>15</v>
      </c>
      <c r="E76" s="10" t="s">
        <v>253</v>
      </c>
      <c r="F76" s="13" t="s">
        <v>44</v>
      </c>
      <c r="G76" s="10" t="s">
        <v>7</v>
      </c>
      <c r="H76" s="10" t="s">
        <v>77</v>
      </c>
      <c r="I76" s="10" t="s">
        <v>78</v>
      </c>
      <c r="J76" s="14" t="s">
        <v>79</v>
      </c>
      <c r="K76" s="15" t="s">
        <v>80</v>
      </c>
      <c r="L76" s="14" t="s">
        <v>81</v>
      </c>
      <c r="M76" s="72" t="s">
        <v>82</v>
      </c>
      <c r="N76" s="70">
        <v>1</v>
      </c>
      <c r="O76" s="70">
        <v>3</v>
      </c>
      <c r="P76" s="70">
        <v>1</v>
      </c>
      <c r="Q76" s="70">
        <v>1</v>
      </c>
      <c r="R76" s="70">
        <v>0</v>
      </c>
      <c r="S76" s="70">
        <v>4</v>
      </c>
      <c r="T76" s="70">
        <v>1</v>
      </c>
      <c r="U76" s="70">
        <v>2</v>
      </c>
      <c r="V76" s="70">
        <v>0</v>
      </c>
      <c r="W76" s="74" t="s">
        <v>254</v>
      </c>
      <c r="X76" s="72">
        <v>0</v>
      </c>
    </row>
    <row r="77" spans="1:24">
      <c r="A77" s="10" t="s">
        <v>266</v>
      </c>
      <c r="B77" s="10" t="s">
        <v>251</v>
      </c>
      <c r="C77" s="13" t="s">
        <v>267</v>
      </c>
      <c r="D77" s="10" t="s">
        <v>15</v>
      </c>
      <c r="E77" s="10" t="s">
        <v>253</v>
      </c>
      <c r="F77" s="13" t="s">
        <v>32</v>
      </c>
      <c r="G77" s="10" t="s">
        <v>7</v>
      </c>
      <c r="H77" s="10" t="s">
        <v>77</v>
      </c>
      <c r="I77" s="10" t="s">
        <v>78</v>
      </c>
      <c r="J77" s="14" t="s">
        <v>79</v>
      </c>
      <c r="K77" s="15" t="s">
        <v>86</v>
      </c>
      <c r="L77" s="14" t="s">
        <v>87</v>
      </c>
      <c r="M77" s="72" t="s">
        <v>82</v>
      </c>
      <c r="N77" s="70">
        <v>1</v>
      </c>
      <c r="O77" s="70">
        <v>4</v>
      </c>
      <c r="P77" s="70">
        <v>3</v>
      </c>
      <c r="Q77" s="70">
        <v>2</v>
      </c>
      <c r="R77" s="70">
        <v>0</v>
      </c>
      <c r="S77" s="70">
        <v>5</v>
      </c>
      <c r="T77" s="70">
        <v>3</v>
      </c>
      <c r="U77" s="70">
        <v>3</v>
      </c>
      <c r="V77" s="70">
        <v>0</v>
      </c>
      <c r="W77" s="74" t="s">
        <v>254</v>
      </c>
      <c r="X77" s="72">
        <v>0</v>
      </c>
    </row>
    <row r="78" spans="1:24">
      <c r="A78" s="10" t="s">
        <v>268</v>
      </c>
      <c r="B78" s="10" t="s">
        <v>251</v>
      </c>
      <c r="C78" s="13" t="s">
        <v>269</v>
      </c>
      <c r="D78" s="10" t="s">
        <v>15</v>
      </c>
      <c r="E78" s="10" t="s">
        <v>253</v>
      </c>
      <c r="F78" s="13" t="s">
        <v>33</v>
      </c>
      <c r="G78" s="10" t="s">
        <v>7</v>
      </c>
      <c r="H78" s="10" t="s">
        <v>77</v>
      </c>
      <c r="I78" s="10" t="s">
        <v>78</v>
      </c>
      <c r="J78" s="14" t="s">
        <v>79</v>
      </c>
      <c r="K78" s="15" t="s">
        <v>86</v>
      </c>
      <c r="L78" s="14" t="s">
        <v>87</v>
      </c>
      <c r="M78" s="72" t="s">
        <v>82</v>
      </c>
      <c r="N78" s="70">
        <v>1</v>
      </c>
      <c r="O78" s="70">
        <v>0</v>
      </c>
      <c r="P78" s="70">
        <v>0</v>
      </c>
      <c r="Q78" s="70">
        <v>0</v>
      </c>
      <c r="R78" s="70">
        <v>0</v>
      </c>
      <c r="S78" s="70">
        <v>1</v>
      </c>
      <c r="T78" s="70">
        <v>0</v>
      </c>
      <c r="U78" s="70">
        <v>1</v>
      </c>
      <c r="V78" s="70">
        <v>0</v>
      </c>
      <c r="W78" s="74" t="s">
        <v>254</v>
      </c>
      <c r="X78" s="73" t="s">
        <v>270</v>
      </c>
    </row>
    <row r="79" spans="1:24">
      <c r="A79" s="10" t="s">
        <v>271</v>
      </c>
      <c r="B79" s="10" t="s">
        <v>251</v>
      </c>
      <c r="C79" s="13" t="s">
        <v>272</v>
      </c>
      <c r="D79" s="10" t="s">
        <v>15</v>
      </c>
      <c r="E79" s="10" t="s">
        <v>253</v>
      </c>
      <c r="F79" s="13" t="s">
        <v>36</v>
      </c>
      <c r="G79" s="10" t="s">
        <v>7</v>
      </c>
      <c r="H79" s="10" t="s">
        <v>77</v>
      </c>
      <c r="I79" s="10" t="s">
        <v>78</v>
      </c>
      <c r="J79" s="14" t="s">
        <v>79</v>
      </c>
      <c r="K79" s="15" t="s">
        <v>80</v>
      </c>
      <c r="L79" s="14" t="s">
        <v>81</v>
      </c>
      <c r="M79" s="72" t="s">
        <v>82</v>
      </c>
      <c r="N79" s="70">
        <v>1</v>
      </c>
      <c r="O79" s="70">
        <v>5</v>
      </c>
      <c r="P79" s="70">
        <v>2</v>
      </c>
      <c r="Q79" s="70">
        <v>4</v>
      </c>
      <c r="R79" s="70">
        <v>0</v>
      </c>
      <c r="S79" s="70">
        <v>6</v>
      </c>
      <c r="T79" s="70">
        <v>2</v>
      </c>
      <c r="U79" s="70">
        <v>5</v>
      </c>
      <c r="V79" s="70">
        <v>0</v>
      </c>
      <c r="W79" s="74" t="s">
        <v>254</v>
      </c>
      <c r="X79" s="72">
        <v>0</v>
      </c>
    </row>
    <row r="80" spans="1:24">
      <c r="A80" s="10" t="s">
        <v>273</v>
      </c>
      <c r="B80" s="10" t="s">
        <v>251</v>
      </c>
      <c r="C80" s="13" t="s">
        <v>274</v>
      </c>
      <c r="D80" s="10" t="s">
        <v>15</v>
      </c>
      <c r="E80" s="10" t="s">
        <v>253</v>
      </c>
      <c r="F80" s="13" t="s">
        <v>33</v>
      </c>
      <c r="G80" s="10" t="s">
        <v>7</v>
      </c>
      <c r="H80" s="10" t="s">
        <v>77</v>
      </c>
      <c r="I80" s="10" t="s">
        <v>78</v>
      </c>
      <c r="J80" s="14" t="s">
        <v>79</v>
      </c>
      <c r="K80" s="15" t="s">
        <v>80</v>
      </c>
      <c r="L80" s="14" t="s">
        <v>81</v>
      </c>
      <c r="M80" s="72" t="s">
        <v>82</v>
      </c>
      <c r="N80" s="70">
        <v>1</v>
      </c>
      <c r="O80" s="70">
        <v>5</v>
      </c>
      <c r="P80" s="70">
        <v>1</v>
      </c>
      <c r="Q80" s="70">
        <v>3</v>
      </c>
      <c r="R80" s="70">
        <v>0</v>
      </c>
      <c r="S80" s="70">
        <v>6</v>
      </c>
      <c r="T80" s="70">
        <v>1</v>
      </c>
      <c r="U80" s="70">
        <v>4</v>
      </c>
      <c r="V80" s="70">
        <v>0</v>
      </c>
      <c r="W80" s="74" t="s">
        <v>254</v>
      </c>
      <c r="X80" s="72">
        <v>0</v>
      </c>
    </row>
    <row r="81" spans="1:24">
      <c r="A81" s="10" t="s">
        <v>275</v>
      </c>
      <c r="B81" s="10" t="s">
        <v>251</v>
      </c>
      <c r="C81" s="13" t="s">
        <v>276</v>
      </c>
      <c r="D81" s="10" t="s">
        <v>15</v>
      </c>
      <c r="E81" s="10" t="s">
        <v>253</v>
      </c>
      <c r="F81" s="13" t="s">
        <v>33</v>
      </c>
      <c r="G81" s="10" t="s">
        <v>7</v>
      </c>
      <c r="H81" s="10" t="s">
        <v>77</v>
      </c>
      <c r="I81" s="10" t="s">
        <v>78</v>
      </c>
      <c r="J81" s="14" t="s">
        <v>79</v>
      </c>
      <c r="K81" s="15" t="s">
        <v>80</v>
      </c>
      <c r="L81" s="14" t="s">
        <v>81</v>
      </c>
      <c r="M81" s="72" t="s">
        <v>82</v>
      </c>
      <c r="N81" s="70">
        <v>1</v>
      </c>
      <c r="O81" s="70">
        <v>0</v>
      </c>
      <c r="P81" s="70">
        <v>0</v>
      </c>
      <c r="Q81" s="70">
        <v>0</v>
      </c>
      <c r="R81" s="70">
        <v>0</v>
      </c>
      <c r="S81" s="70">
        <v>1</v>
      </c>
      <c r="T81" s="70">
        <v>0</v>
      </c>
      <c r="U81" s="70">
        <v>1</v>
      </c>
      <c r="V81" s="70">
        <v>0</v>
      </c>
      <c r="W81" s="74" t="s">
        <v>254</v>
      </c>
      <c r="X81" s="72">
        <v>0</v>
      </c>
    </row>
    <row r="82" spans="1:24">
      <c r="A82" s="10" t="s">
        <v>277</v>
      </c>
      <c r="B82" s="10" t="s">
        <v>251</v>
      </c>
      <c r="C82" s="13" t="s">
        <v>278</v>
      </c>
      <c r="D82" s="10" t="s">
        <v>15</v>
      </c>
      <c r="E82" s="10" t="s">
        <v>253</v>
      </c>
      <c r="F82" s="13" t="s">
        <v>32</v>
      </c>
      <c r="G82" s="10" t="s">
        <v>7</v>
      </c>
      <c r="H82" s="10" t="s">
        <v>77</v>
      </c>
      <c r="I82" s="10" t="s">
        <v>78</v>
      </c>
      <c r="J82" s="14" t="s">
        <v>79</v>
      </c>
      <c r="K82" s="15" t="s">
        <v>86</v>
      </c>
      <c r="L82" s="14" t="s">
        <v>87</v>
      </c>
      <c r="M82" s="72" t="s">
        <v>82</v>
      </c>
      <c r="N82" s="70">
        <v>1</v>
      </c>
      <c r="O82" s="70">
        <v>10</v>
      </c>
      <c r="P82" s="70">
        <v>10</v>
      </c>
      <c r="Q82" s="70">
        <v>10</v>
      </c>
      <c r="R82" s="70">
        <v>10</v>
      </c>
      <c r="S82" s="70">
        <v>11</v>
      </c>
      <c r="T82" s="70">
        <v>10</v>
      </c>
      <c r="U82" s="70">
        <v>11</v>
      </c>
      <c r="V82" s="70">
        <v>10</v>
      </c>
      <c r="W82" s="74" t="s">
        <v>254</v>
      </c>
      <c r="X82" s="72">
        <v>0</v>
      </c>
    </row>
    <row r="83" spans="1:24">
      <c r="A83" s="10" t="s">
        <v>279</v>
      </c>
      <c r="B83" s="10" t="s">
        <v>251</v>
      </c>
      <c r="C83" s="13" t="s">
        <v>280</v>
      </c>
      <c r="D83" s="10" t="s">
        <v>16</v>
      </c>
      <c r="E83" s="10" t="s">
        <v>253</v>
      </c>
      <c r="F83" s="13" t="s">
        <v>39</v>
      </c>
      <c r="G83" s="10" t="s">
        <v>7</v>
      </c>
      <c r="H83" s="10" t="s">
        <v>77</v>
      </c>
      <c r="I83" s="10" t="s">
        <v>78</v>
      </c>
      <c r="J83" s="14" t="s">
        <v>79</v>
      </c>
      <c r="K83" s="15" t="s">
        <v>80</v>
      </c>
      <c r="L83" s="14" t="s">
        <v>81</v>
      </c>
      <c r="M83" s="72" t="s">
        <v>82</v>
      </c>
      <c r="N83" s="70">
        <v>1</v>
      </c>
      <c r="O83" s="70">
        <v>4</v>
      </c>
      <c r="P83" s="70">
        <v>0</v>
      </c>
      <c r="Q83" s="70">
        <v>1</v>
      </c>
      <c r="R83" s="70">
        <v>0</v>
      </c>
      <c r="S83" s="70">
        <v>5</v>
      </c>
      <c r="T83" s="70">
        <v>0</v>
      </c>
      <c r="U83" s="70">
        <v>2</v>
      </c>
      <c r="V83" s="70">
        <v>0</v>
      </c>
      <c r="W83" s="74" t="s">
        <v>254</v>
      </c>
      <c r="X83" s="72">
        <v>0</v>
      </c>
    </row>
    <row r="84" spans="1:24">
      <c r="A84" s="10" t="s">
        <v>281</v>
      </c>
      <c r="B84" s="10" t="s">
        <v>251</v>
      </c>
      <c r="C84" s="13" t="s">
        <v>282</v>
      </c>
      <c r="D84" s="10" t="s">
        <v>18</v>
      </c>
      <c r="E84" s="10" t="s">
        <v>253</v>
      </c>
      <c r="F84" s="13" t="s">
        <v>34</v>
      </c>
      <c r="G84" s="10" t="s">
        <v>7</v>
      </c>
      <c r="H84" s="10" t="s">
        <v>77</v>
      </c>
      <c r="I84" s="10" t="s">
        <v>78</v>
      </c>
      <c r="J84" s="14" t="s">
        <v>79</v>
      </c>
      <c r="K84" s="15" t="s">
        <v>80</v>
      </c>
      <c r="L84" s="14" t="s">
        <v>81</v>
      </c>
      <c r="M84" s="72" t="s">
        <v>82</v>
      </c>
      <c r="N84" s="70">
        <v>1</v>
      </c>
      <c r="O84" s="70">
        <v>2</v>
      </c>
      <c r="P84" s="70">
        <v>2</v>
      </c>
      <c r="Q84" s="70">
        <v>2</v>
      </c>
      <c r="R84" s="70">
        <v>0</v>
      </c>
      <c r="S84" s="70">
        <v>3</v>
      </c>
      <c r="T84" s="70">
        <v>2</v>
      </c>
      <c r="U84" s="70">
        <v>3</v>
      </c>
      <c r="V84" s="70">
        <v>0</v>
      </c>
      <c r="W84" s="74" t="s">
        <v>254</v>
      </c>
      <c r="X84" s="72">
        <v>0</v>
      </c>
    </row>
    <row r="85" spans="1:24">
      <c r="A85" s="10" t="s">
        <v>283</v>
      </c>
      <c r="B85" s="10" t="s">
        <v>251</v>
      </c>
      <c r="C85" s="13" t="s">
        <v>284</v>
      </c>
      <c r="D85" s="10" t="s">
        <v>19</v>
      </c>
      <c r="E85" s="10" t="s">
        <v>253</v>
      </c>
      <c r="F85" s="13" t="s">
        <v>33</v>
      </c>
      <c r="G85" s="10" t="s">
        <v>7</v>
      </c>
      <c r="H85" s="10" t="s">
        <v>77</v>
      </c>
      <c r="I85" s="10" t="s">
        <v>78</v>
      </c>
      <c r="J85" s="14" t="s">
        <v>79</v>
      </c>
      <c r="K85" s="15" t="s">
        <v>86</v>
      </c>
      <c r="L85" s="14" t="s">
        <v>87</v>
      </c>
      <c r="M85" s="72" t="s">
        <v>82</v>
      </c>
      <c r="N85" s="70">
        <v>1</v>
      </c>
      <c r="O85" s="70">
        <v>0</v>
      </c>
      <c r="P85" s="70">
        <v>0</v>
      </c>
      <c r="Q85" s="70">
        <v>1</v>
      </c>
      <c r="R85" s="70">
        <v>0</v>
      </c>
      <c r="S85" s="70">
        <v>1</v>
      </c>
      <c r="T85" s="70">
        <v>0</v>
      </c>
      <c r="U85" s="70">
        <v>2</v>
      </c>
      <c r="V85" s="70">
        <v>0</v>
      </c>
      <c r="W85" s="74" t="s">
        <v>254</v>
      </c>
      <c r="X85" s="73" t="s">
        <v>285</v>
      </c>
    </row>
    <row r="86" spans="1:24">
      <c r="A86" s="10" t="s">
        <v>286</v>
      </c>
      <c r="B86" s="10" t="s">
        <v>251</v>
      </c>
      <c r="C86" s="13" t="s">
        <v>287</v>
      </c>
      <c r="D86" s="10" t="s">
        <v>20</v>
      </c>
      <c r="E86" s="10" t="s">
        <v>253</v>
      </c>
      <c r="F86" s="13" t="s">
        <v>34</v>
      </c>
      <c r="G86" s="10" t="s">
        <v>7</v>
      </c>
      <c r="H86" s="10" t="s">
        <v>77</v>
      </c>
      <c r="I86" s="10" t="s">
        <v>78</v>
      </c>
      <c r="J86" s="14" t="s">
        <v>79</v>
      </c>
      <c r="K86" s="15" t="s">
        <v>86</v>
      </c>
      <c r="L86" s="14" t="s">
        <v>87</v>
      </c>
      <c r="M86" s="72" t="s">
        <v>82</v>
      </c>
      <c r="N86" s="70">
        <v>1</v>
      </c>
      <c r="O86" s="70">
        <v>3</v>
      </c>
      <c r="P86" s="70">
        <v>2</v>
      </c>
      <c r="Q86" s="70">
        <v>0</v>
      </c>
      <c r="R86" s="70">
        <v>0</v>
      </c>
      <c r="S86" s="70">
        <v>4</v>
      </c>
      <c r="T86" s="70">
        <v>2</v>
      </c>
      <c r="U86" s="70">
        <v>1</v>
      </c>
      <c r="V86" s="70">
        <v>0</v>
      </c>
      <c r="W86" s="74" t="s">
        <v>254</v>
      </c>
      <c r="X86" s="72">
        <v>0</v>
      </c>
    </row>
    <row r="87" spans="1:24">
      <c r="A87" s="10" t="s">
        <v>288</v>
      </c>
      <c r="B87" s="10" t="s">
        <v>74</v>
      </c>
      <c r="C87" s="13" t="s">
        <v>289</v>
      </c>
      <c r="D87" s="10" t="s">
        <v>14</v>
      </c>
      <c r="E87" s="10" t="s">
        <v>76</v>
      </c>
      <c r="F87" s="13" t="s">
        <v>32</v>
      </c>
      <c r="G87" s="10" t="s">
        <v>7</v>
      </c>
      <c r="H87" s="10" t="s">
        <v>77</v>
      </c>
      <c r="I87" s="10" t="s">
        <v>78</v>
      </c>
      <c r="J87" s="14" t="s">
        <v>79</v>
      </c>
      <c r="K87" s="15" t="s">
        <v>86</v>
      </c>
      <c r="L87" s="14" t="s">
        <v>87</v>
      </c>
      <c r="M87" s="72" t="s">
        <v>82</v>
      </c>
      <c r="N87" s="70">
        <v>1</v>
      </c>
      <c r="O87" s="70">
        <v>2</v>
      </c>
      <c r="P87" s="70">
        <v>1</v>
      </c>
      <c r="Q87" s="70">
        <v>0</v>
      </c>
      <c r="R87" s="70">
        <v>0</v>
      </c>
      <c r="S87" s="70">
        <v>3</v>
      </c>
      <c r="T87" s="70">
        <v>1</v>
      </c>
      <c r="U87" s="70">
        <v>1</v>
      </c>
      <c r="V87" s="70">
        <v>0</v>
      </c>
      <c r="W87" s="71" t="s">
        <v>83</v>
      </c>
      <c r="X87" s="72">
        <v>0</v>
      </c>
    </row>
    <row r="88" spans="1:24">
      <c r="A88" s="10" t="s">
        <v>290</v>
      </c>
      <c r="B88" s="10" t="s">
        <v>74</v>
      </c>
      <c r="C88" s="13" t="s">
        <v>291</v>
      </c>
      <c r="D88" s="10" t="s">
        <v>14</v>
      </c>
      <c r="E88" s="10" t="s">
        <v>76</v>
      </c>
      <c r="F88" s="13" t="s">
        <v>31</v>
      </c>
      <c r="G88" s="10" t="s">
        <v>8</v>
      </c>
      <c r="H88" s="10" t="s">
        <v>77</v>
      </c>
      <c r="I88" s="10" t="s">
        <v>78</v>
      </c>
      <c r="J88" s="14" t="s">
        <v>79</v>
      </c>
      <c r="K88" s="15" t="s">
        <v>86</v>
      </c>
      <c r="L88" s="14" t="s">
        <v>87</v>
      </c>
      <c r="M88" s="72" t="s">
        <v>82</v>
      </c>
      <c r="N88" s="70">
        <v>1</v>
      </c>
      <c r="O88" s="70">
        <v>10</v>
      </c>
      <c r="P88" s="70">
        <v>7</v>
      </c>
      <c r="Q88" s="70">
        <v>1</v>
      </c>
      <c r="R88" s="70">
        <v>0</v>
      </c>
      <c r="S88" s="70">
        <v>11</v>
      </c>
      <c r="T88" s="70">
        <v>8</v>
      </c>
      <c r="U88" s="70">
        <v>2</v>
      </c>
      <c r="V88" s="70">
        <v>0</v>
      </c>
      <c r="W88" s="71" t="s">
        <v>83</v>
      </c>
      <c r="X88" s="72">
        <v>0</v>
      </c>
    </row>
    <row r="89" spans="1:24">
      <c r="A89" s="10" t="s">
        <v>292</v>
      </c>
      <c r="B89" s="10" t="s">
        <v>74</v>
      </c>
      <c r="C89" s="13" t="s">
        <v>293</v>
      </c>
      <c r="D89" s="10" t="s">
        <v>14</v>
      </c>
      <c r="E89" s="10" t="s">
        <v>76</v>
      </c>
      <c r="F89" s="13" t="s">
        <v>31</v>
      </c>
      <c r="G89" s="10" t="s">
        <v>8</v>
      </c>
      <c r="H89" s="10" t="s">
        <v>77</v>
      </c>
      <c r="I89" s="10" t="s">
        <v>78</v>
      </c>
      <c r="J89" s="14" t="s">
        <v>79</v>
      </c>
      <c r="K89" s="15" t="s">
        <v>86</v>
      </c>
      <c r="L89" s="14" t="s">
        <v>87</v>
      </c>
      <c r="M89" s="72" t="s">
        <v>82</v>
      </c>
      <c r="N89" s="70">
        <v>1</v>
      </c>
      <c r="O89" s="70">
        <v>3</v>
      </c>
      <c r="P89" s="70">
        <v>1</v>
      </c>
      <c r="Q89" s="70">
        <v>0</v>
      </c>
      <c r="R89" s="70">
        <v>0</v>
      </c>
      <c r="S89" s="70">
        <v>4</v>
      </c>
      <c r="T89" s="70">
        <v>2</v>
      </c>
      <c r="U89" s="70">
        <v>1</v>
      </c>
      <c r="V89" s="70">
        <v>0</v>
      </c>
      <c r="W89" s="71" t="s">
        <v>83</v>
      </c>
      <c r="X89" s="72">
        <v>0</v>
      </c>
    </row>
    <row r="90" spans="1:24">
      <c r="A90" s="10" t="s">
        <v>294</v>
      </c>
      <c r="B90" s="10" t="s">
        <v>74</v>
      </c>
      <c r="C90" s="13" t="s">
        <v>295</v>
      </c>
      <c r="D90" s="10" t="s">
        <v>14</v>
      </c>
      <c r="E90" s="10" t="s">
        <v>76</v>
      </c>
      <c r="F90" s="13" t="s">
        <v>31</v>
      </c>
      <c r="G90" s="10" t="s">
        <v>8</v>
      </c>
      <c r="H90" s="10" t="s">
        <v>77</v>
      </c>
      <c r="I90" s="10" t="s">
        <v>78</v>
      </c>
      <c r="J90" s="14" t="s">
        <v>79</v>
      </c>
      <c r="K90" s="15" t="s">
        <v>86</v>
      </c>
      <c r="L90" s="14" t="s">
        <v>87</v>
      </c>
      <c r="M90" s="72" t="s">
        <v>82</v>
      </c>
      <c r="N90" s="70">
        <v>1</v>
      </c>
      <c r="O90" s="70">
        <v>8</v>
      </c>
      <c r="P90" s="70">
        <v>4</v>
      </c>
      <c r="Q90" s="70">
        <v>3</v>
      </c>
      <c r="R90" s="70">
        <v>0</v>
      </c>
      <c r="S90" s="70">
        <v>9</v>
      </c>
      <c r="T90" s="70">
        <v>5</v>
      </c>
      <c r="U90" s="70">
        <v>4</v>
      </c>
      <c r="V90" s="70">
        <v>0</v>
      </c>
      <c r="W90" s="71" t="s">
        <v>83</v>
      </c>
      <c r="X90" s="72">
        <v>0</v>
      </c>
    </row>
    <row r="91" spans="1:24">
      <c r="A91" s="10" t="s">
        <v>296</v>
      </c>
      <c r="B91" s="10" t="s">
        <v>98</v>
      </c>
      <c r="C91" s="13" t="s">
        <v>297</v>
      </c>
      <c r="D91" s="10" t="s">
        <v>14</v>
      </c>
      <c r="E91" s="10" t="s">
        <v>76</v>
      </c>
      <c r="F91" s="13" t="s">
        <v>33</v>
      </c>
      <c r="G91" s="10" t="s">
        <v>7</v>
      </c>
      <c r="H91" s="10" t="s">
        <v>77</v>
      </c>
      <c r="I91" s="10" t="s">
        <v>78</v>
      </c>
      <c r="J91" s="14" t="s">
        <v>79</v>
      </c>
      <c r="K91" s="15" t="s">
        <v>80</v>
      </c>
      <c r="L91" s="14" t="s">
        <v>81</v>
      </c>
      <c r="M91" s="72" t="s">
        <v>82</v>
      </c>
      <c r="N91" s="70">
        <v>1</v>
      </c>
      <c r="O91" s="70">
        <v>2</v>
      </c>
      <c r="P91" s="70">
        <v>1</v>
      </c>
      <c r="Q91" s="70">
        <v>1</v>
      </c>
      <c r="R91" s="70">
        <v>0</v>
      </c>
      <c r="S91" s="70">
        <v>3</v>
      </c>
      <c r="T91" s="70">
        <v>1</v>
      </c>
      <c r="U91" s="70">
        <v>2</v>
      </c>
      <c r="V91" s="70">
        <v>0</v>
      </c>
      <c r="W91" s="71" t="s">
        <v>83</v>
      </c>
      <c r="X91" s="72">
        <v>0</v>
      </c>
    </row>
    <row r="92" spans="1:24">
      <c r="A92" s="10" t="s">
        <v>298</v>
      </c>
      <c r="B92" s="10" t="s">
        <v>108</v>
      </c>
      <c r="C92" s="13" t="s">
        <v>299</v>
      </c>
      <c r="D92" s="10" t="s">
        <v>16</v>
      </c>
      <c r="E92" s="10" t="s">
        <v>76</v>
      </c>
      <c r="F92" s="13" t="s">
        <v>42</v>
      </c>
      <c r="G92" s="10" t="s">
        <v>7</v>
      </c>
      <c r="H92" s="10" t="s">
        <v>77</v>
      </c>
      <c r="I92" s="10" t="s">
        <v>78</v>
      </c>
      <c r="J92" s="14" t="s">
        <v>79</v>
      </c>
      <c r="K92" s="15" t="s">
        <v>80</v>
      </c>
      <c r="L92" s="14" t="s">
        <v>81</v>
      </c>
      <c r="M92" s="72" t="s">
        <v>82</v>
      </c>
      <c r="N92" s="70">
        <v>1</v>
      </c>
      <c r="O92" s="70">
        <v>11</v>
      </c>
      <c r="P92" s="70">
        <v>9</v>
      </c>
      <c r="Q92" s="70">
        <v>11</v>
      </c>
      <c r="R92" s="70">
        <v>0</v>
      </c>
      <c r="S92" s="70">
        <v>12</v>
      </c>
      <c r="T92" s="70">
        <v>9</v>
      </c>
      <c r="U92" s="70">
        <v>12</v>
      </c>
      <c r="V92" s="70">
        <v>0</v>
      </c>
      <c r="W92" s="71" t="s">
        <v>83</v>
      </c>
      <c r="X92" s="72">
        <v>0</v>
      </c>
    </row>
    <row r="93" spans="1:24">
      <c r="A93" s="10" t="s">
        <v>300</v>
      </c>
      <c r="B93" s="10" t="s">
        <v>136</v>
      </c>
      <c r="C93" s="13" t="s">
        <v>301</v>
      </c>
      <c r="D93" s="10" t="s">
        <v>16</v>
      </c>
      <c r="E93" s="10" t="s">
        <v>76</v>
      </c>
      <c r="F93" s="13" t="s">
        <v>33</v>
      </c>
      <c r="G93" s="10" t="s">
        <v>8</v>
      </c>
      <c r="H93" s="10" t="s">
        <v>77</v>
      </c>
      <c r="I93" s="10" t="s">
        <v>78</v>
      </c>
      <c r="J93" s="14" t="s">
        <v>79</v>
      </c>
      <c r="K93" s="15" t="s">
        <v>86</v>
      </c>
      <c r="L93" s="14" t="s">
        <v>87</v>
      </c>
      <c r="M93" s="72" t="s">
        <v>124</v>
      </c>
      <c r="N93" s="70">
        <v>0</v>
      </c>
      <c r="O93" s="70">
        <v>0</v>
      </c>
      <c r="P93" s="70">
        <v>0</v>
      </c>
      <c r="Q93" s="70">
        <v>0</v>
      </c>
      <c r="R93" s="70">
        <v>0</v>
      </c>
      <c r="S93" s="70">
        <v>0</v>
      </c>
      <c r="T93" s="70">
        <v>1</v>
      </c>
      <c r="U93" s="70">
        <v>1</v>
      </c>
      <c r="V93" s="70">
        <v>0</v>
      </c>
      <c r="W93" s="71" t="s">
        <v>83</v>
      </c>
      <c r="X93" s="73" t="s">
        <v>125</v>
      </c>
    </row>
    <row r="94" spans="1:24">
      <c r="A94" s="10" t="s">
        <v>302</v>
      </c>
      <c r="B94" s="10" t="s">
        <v>108</v>
      </c>
      <c r="C94" s="13" t="s">
        <v>303</v>
      </c>
      <c r="D94" s="10" t="s">
        <v>16</v>
      </c>
      <c r="E94" s="10" t="s">
        <v>76</v>
      </c>
      <c r="F94" s="13" t="s">
        <v>42</v>
      </c>
      <c r="G94" s="10" t="s">
        <v>7</v>
      </c>
      <c r="H94" s="10" t="s">
        <v>77</v>
      </c>
      <c r="I94" s="10" t="s">
        <v>78</v>
      </c>
      <c r="J94" s="14" t="s">
        <v>79</v>
      </c>
      <c r="K94" s="15" t="s">
        <v>86</v>
      </c>
      <c r="L94" s="14" t="s">
        <v>87</v>
      </c>
      <c r="M94" s="72" t="s">
        <v>82</v>
      </c>
      <c r="N94" s="70">
        <v>1</v>
      </c>
      <c r="O94" s="70">
        <v>10</v>
      </c>
      <c r="P94" s="70">
        <v>10</v>
      </c>
      <c r="Q94" s="70">
        <v>7</v>
      </c>
      <c r="R94" s="70">
        <v>0</v>
      </c>
      <c r="S94" s="70">
        <v>11</v>
      </c>
      <c r="T94" s="70">
        <v>10</v>
      </c>
      <c r="U94" s="70">
        <v>8</v>
      </c>
      <c r="V94" s="70">
        <v>0</v>
      </c>
      <c r="W94" s="71" t="s">
        <v>83</v>
      </c>
      <c r="X94" s="72">
        <v>0</v>
      </c>
    </row>
    <row r="95" spans="1:24">
      <c r="A95" s="10" t="s">
        <v>304</v>
      </c>
      <c r="B95" s="10" t="s">
        <v>108</v>
      </c>
      <c r="C95" s="13" t="s">
        <v>305</v>
      </c>
      <c r="D95" s="10" t="s">
        <v>16</v>
      </c>
      <c r="E95" s="10" t="s">
        <v>76</v>
      </c>
      <c r="F95" s="13" t="s">
        <v>44</v>
      </c>
      <c r="G95" s="10" t="s">
        <v>8</v>
      </c>
      <c r="H95" s="10" t="s">
        <v>77</v>
      </c>
      <c r="I95" s="10" t="s">
        <v>78</v>
      </c>
      <c r="J95" s="14" t="s">
        <v>79</v>
      </c>
      <c r="K95" s="15" t="s">
        <v>86</v>
      </c>
      <c r="L95" s="14" t="s">
        <v>87</v>
      </c>
      <c r="M95" s="72" t="s">
        <v>82</v>
      </c>
      <c r="N95" s="70">
        <v>1</v>
      </c>
      <c r="O95" s="70">
        <v>5</v>
      </c>
      <c r="P95" s="70">
        <v>2</v>
      </c>
      <c r="Q95" s="70">
        <v>1</v>
      </c>
      <c r="R95" s="70">
        <v>0</v>
      </c>
      <c r="S95" s="70">
        <v>6</v>
      </c>
      <c r="T95" s="70">
        <v>3</v>
      </c>
      <c r="U95" s="70">
        <v>2</v>
      </c>
      <c r="V95" s="70">
        <v>0</v>
      </c>
      <c r="W95" s="71" t="s">
        <v>83</v>
      </c>
      <c r="X95" s="72">
        <v>0</v>
      </c>
    </row>
    <row r="96" spans="1:24">
      <c r="A96" s="10" t="s">
        <v>306</v>
      </c>
      <c r="B96" s="10" t="s">
        <v>108</v>
      </c>
      <c r="C96" s="13" t="s">
        <v>307</v>
      </c>
      <c r="D96" s="10" t="s">
        <v>16</v>
      </c>
      <c r="E96" s="10" t="s">
        <v>76</v>
      </c>
      <c r="F96" s="13" t="s">
        <v>41</v>
      </c>
      <c r="G96" s="10" t="s">
        <v>7</v>
      </c>
      <c r="H96" s="10" t="s">
        <v>77</v>
      </c>
      <c r="I96" s="10" t="s">
        <v>78</v>
      </c>
      <c r="J96" s="14" t="s">
        <v>79</v>
      </c>
      <c r="K96" s="15" t="s">
        <v>80</v>
      </c>
      <c r="L96" s="14" t="s">
        <v>81</v>
      </c>
      <c r="M96" s="72" t="s">
        <v>82</v>
      </c>
      <c r="N96" s="70">
        <v>1</v>
      </c>
      <c r="O96" s="70">
        <v>2</v>
      </c>
      <c r="P96" s="70">
        <v>1</v>
      </c>
      <c r="Q96" s="70">
        <v>0</v>
      </c>
      <c r="R96" s="70">
        <v>0</v>
      </c>
      <c r="S96" s="70">
        <v>3</v>
      </c>
      <c r="T96" s="70">
        <v>1</v>
      </c>
      <c r="U96" s="70">
        <v>1</v>
      </c>
      <c r="V96" s="70">
        <v>0</v>
      </c>
      <c r="W96" s="71" t="s">
        <v>83</v>
      </c>
      <c r="X96" s="72">
        <v>0</v>
      </c>
    </row>
    <row r="97" spans="1:24">
      <c r="A97" s="10" t="s">
        <v>308</v>
      </c>
      <c r="B97" s="10" t="s">
        <v>108</v>
      </c>
      <c r="C97" s="13" t="s">
        <v>309</v>
      </c>
      <c r="D97" s="10" t="s">
        <v>16</v>
      </c>
      <c r="E97" s="10" t="s">
        <v>76</v>
      </c>
      <c r="F97" s="13" t="s">
        <v>45</v>
      </c>
      <c r="G97" s="10" t="s">
        <v>8</v>
      </c>
      <c r="H97" s="10" t="s">
        <v>77</v>
      </c>
      <c r="I97" s="10" t="s">
        <v>78</v>
      </c>
      <c r="J97" s="14" t="s">
        <v>79</v>
      </c>
      <c r="K97" s="15" t="s">
        <v>80</v>
      </c>
      <c r="L97" s="14" t="s">
        <v>81</v>
      </c>
      <c r="M97" s="72" t="s">
        <v>82</v>
      </c>
      <c r="N97" s="70">
        <v>1</v>
      </c>
      <c r="O97" s="70">
        <v>2</v>
      </c>
      <c r="P97" s="70">
        <v>2</v>
      </c>
      <c r="Q97" s="70">
        <v>0</v>
      </c>
      <c r="R97" s="70">
        <v>0</v>
      </c>
      <c r="S97" s="70">
        <v>3</v>
      </c>
      <c r="T97" s="70">
        <v>3</v>
      </c>
      <c r="U97" s="70">
        <v>1</v>
      </c>
      <c r="V97" s="70">
        <v>0</v>
      </c>
      <c r="W97" s="71" t="s">
        <v>83</v>
      </c>
      <c r="X97" s="72">
        <v>0</v>
      </c>
    </row>
    <row r="98" spans="1:24">
      <c r="A98" s="10" t="s">
        <v>310</v>
      </c>
      <c r="B98" s="10" t="s">
        <v>108</v>
      </c>
      <c r="C98" s="13" t="s">
        <v>311</v>
      </c>
      <c r="D98" s="10" t="s">
        <v>16</v>
      </c>
      <c r="E98" s="10" t="s">
        <v>76</v>
      </c>
      <c r="F98" s="13" t="s">
        <v>36</v>
      </c>
      <c r="G98" s="10" t="s">
        <v>8</v>
      </c>
      <c r="H98" s="10" t="s">
        <v>77</v>
      </c>
      <c r="I98" s="10" t="s">
        <v>78</v>
      </c>
      <c r="J98" s="14" t="s">
        <v>79</v>
      </c>
      <c r="K98" s="15" t="s">
        <v>80</v>
      </c>
      <c r="L98" s="14" t="s">
        <v>81</v>
      </c>
      <c r="M98" s="72" t="s">
        <v>82</v>
      </c>
      <c r="N98" s="70">
        <v>1</v>
      </c>
      <c r="O98" s="70">
        <v>4</v>
      </c>
      <c r="P98" s="70">
        <v>2</v>
      </c>
      <c r="Q98" s="70">
        <v>0</v>
      </c>
      <c r="R98" s="70">
        <v>0</v>
      </c>
      <c r="S98" s="70">
        <v>5</v>
      </c>
      <c r="T98" s="70">
        <v>3</v>
      </c>
      <c r="U98" s="70">
        <v>1</v>
      </c>
      <c r="V98" s="70">
        <v>0</v>
      </c>
      <c r="W98" s="71" t="s">
        <v>83</v>
      </c>
      <c r="X98" s="72">
        <v>0</v>
      </c>
    </row>
    <row r="99" spans="1:24">
      <c r="A99" s="10" t="s">
        <v>312</v>
      </c>
      <c r="B99" s="10" t="s">
        <v>108</v>
      </c>
      <c r="C99" s="13" t="s">
        <v>313</v>
      </c>
      <c r="D99" s="10" t="s">
        <v>16</v>
      </c>
      <c r="E99" s="10" t="s">
        <v>76</v>
      </c>
      <c r="F99" s="13" t="s">
        <v>33</v>
      </c>
      <c r="G99" s="10" t="s">
        <v>8</v>
      </c>
      <c r="H99" s="10" t="s">
        <v>77</v>
      </c>
      <c r="I99" s="10" t="s">
        <v>78</v>
      </c>
      <c r="J99" s="14" t="s">
        <v>79</v>
      </c>
      <c r="K99" s="15" t="s">
        <v>86</v>
      </c>
      <c r="L99" s="14" t="s">
        <v>87</v>
      </c>
      <c r="M99" s="72" t="s">
        <v>82</v>
      </c>
      <c r="N99" s="70">
        <v>1</v>
      </c>
      <c r="O99" s="70">
        <v>6</v>
      </c>
      <c r="P99" s="70">
        <v>3</v>
      </c>
      <c r="Q99" s="70">
        <v>1</v>
      </c>
      <c r="R99" s="70">
        <v>0</v>
      </c>
      <c r="S99" s="70">
        <v>7</v>
      </c>
      <c r="T99" s="70">
        <v>4</v>
      </c>
      <c r="U99" s="70">
        <v>2</v>
      </c>
      <c r="V99" s="70">
        <v>0</v>
      </c>
      <c r="W99" s="71" t="s">
        <v>83</v>
      </c>
      <c r="X99" s="72">
        <v>0</v>
      </c>
    </row>
    <row r="100" spans="1:24">
      <c r="A100" s="10" t="s">
        <v>314</v>
      </c>
      <c r="B100" s="10" t="s">
        <v>108</v>
      </c>
      <c r="C100" s="13" t="s">
        <v>315</v>
      </c>
      <c r="D100" s="10" t="s">
        <v>16</v>
      </c>
      <c r="E100" s="10" t="s">
        <v>76</v>
      </c>
      <c r="F100" s="13" t="s">
        <v>31</v>
      </c>
      <c r="G100" s="10" t="s">
        <v>8</v>
      </c>
      <c r="H100" s="10" t="s">
        <v>90</v>
      </c>
      <c r="I100" s="10" t="s">
        <v>78</v>
      </c>
      <c r="J100" s="14" t="s">
        <v>79</v>
      </c>
      <c r="K100" s="15" t="s">
        <v>80</v>
      </c>
      <c r="L100" s="14" t="s">
        <v>81</v>
      </c>
      <c r="M100" s="72" t="s">
        <v>82</v>
      </c>
      <c r="N100" s="70">
        <v>1</v>
      </c>
      <c r="O100" s="70">
        <v>0</v>
      </c>
      <c r="P100" s="70">
        <v>0</v>
      </c>
      <c r="Q100" s="70">
        <v>0</v>
      </c>
      <c r="R100" s="70">
        <v>0</v>
      </c>
      <c r="S100" s="70">
        <v>1</v>
      </c>
      <c r="T100" s="70">
        <v>1</v>
      </c>
      <c r="U100" s="70">
        <v>0</v>
      </c>
      <c r="V100" s="70">
        <v>0</v>
      </c>
      <c r="W100" s="71" t="s">
        <v>83</v>
      </c>
      <c r="X100" s="72">
        <v>0</v>
      </c>
    </row>
    <row r="101" spans="1:24">
      <c r="A101" s="10" t="s">
        <v>316</v>
      </c>
      <c r="B101" s="10" t="s">
        <v>108</v>
      </c>
      <c r="C101" s="13" t="s">
        <v>317</v>
      </c>
      <c r="D101" s="10" t="s">
        <v>16</v>
      </c>
      <c r="E101" s="10" t="s">
        <v>76</v>
      </c>
      <c r="F101" s="13" t="s">
        <v>33</v>
      </c>
      <c r="G101" s="10" t="s">
        <v>8</v>
      </c>
      <c r="H101" s="10" t="s">
        <v>77</v>
      </c>
      <c r="I101" s="10" t="s">
        <v>78</v>
      </c>
      <c r="J101" s="14" t="s">
        <v>79</v>
      </c>
      <c r="K101" s="15" t="s">
        <v>80</v>
      </c>
      <c r="L101" s="14" t="s">
        <v>81</v>
      </c>
      <c r="M101" s="72" t="s">
        <v>82</v>
      </c>
      <c r="N101" s="70">
        <v>1</v>
      </c>
      <c r="O101" s="70">
        <v>2</v>
      </c>
      <c r="P101" s="70">
        <v>2</v>
      </c>
      <c r="Q101" s="70">
        <v>2</v>
      </c>
      <c r="R101" s="70">
        <v>0</v>
      </c>
      <c r="S101" s="70">
        <v>3</v>
      </c>
      <c r="T101" s="70">
        <v>3</v>
      </c>
      <c r="U101" s="70">
        <v>3</v>
      </c>
      <c r="V101" s="70">
        <v>0</v>
      </c>
      <c r="W101" s="71" t="s">
        <v>83</v>
      </c>
      <c r="X101" s="72">
        <v>0</v>
      </c>
    </row>
    <row r="102" spans="1:24">
      <c r="A102" s="10" t="s">
        <v>318</v>
      </c>
      <c r="B102" s="10" t="s">
        <v>108</v>
      </c>
      <c r="C102" s="13" t="s">
        <v>319</v>
      </c>
      <c r="D102" s="10" t="s">
        <v>16</v>
      </c>
      <c r="E102" s="10" t="s">
        <v>76</v>
      </c>
      <c r="F102" s="13" t="s">
        <v>34</v>
      </c>
      <c r="G102" s="10" t="s">
        <v>7</v>
      </c>
      <c r="H102" s="10" t="s">
        <v>77</v>
      </c>
      <c r="I102" s="10" t="s">
        <v>78</v>
      </c>
      <c r="J102" s="14" t="s">
        <v>79</v>
      </c>
      <c r="K102" s="15" t="s">
        <v>86</v>
      </c>
      <c r="L102" s="14" t="s">
        <v>87</v>
      </c>
      <c r="M102" s="72" t="s">
        <v>82</v>
      </c>
      <c r="N102" s="70">
        <v>1</v>
      </c>
      <c r="O102" s="70">
        <v>0</v>
      </c>
      <c r="P102" s="70">
        <v>0</v>
      </c>
      <c r="Q102" s="70">
        <v>0</v>
      </c>
      <c r="R102" s="70">
        <v>0</v>
      </c>
      <c r="S102" s="70">
        <v>1</v>
      </c>
      <c r="T102" s="70">
        <v>0</v>
      </c>
      <c r="U102" s="70">
        <v>1</v>
      </c>
      <c r="V102" s="70">
        <v>0</v>
      </c>
      <c r="W102" s="71" t="s">
        <v>83</v>
      </c>
      <c r="X102" s="72">
        <v>0</v>
      </c>
    </row>
    <row r="103" spans="1:24">
      <c r="A103" s="10" t="s">
        <v>320</v>
      </c>
      <c r="B103" s="10" t="s">
        <v>136</v>
      </c>
      <c r="C103" s="13" t="s">
        <v>321</v>
      </c>
      <c r="D103" s="10" t="s">
        <v>16</v>
      </c>
      <c r="E103" s="10" t="s">
        <v>76</v>
      </c>
      <c r="F103" s="13" t="s">
        <v>42</v>
      </c>
      <c r="G103" s="10" t="s">
        <v>8</v>
      </c>
      <c r="H103" s="10" t="s">
        <v>77</v>
      </c>
      <c r="I103" s="10" t="s">
        <v>78</v>
      </c>
      <c r="J103" s="14" t="s">
        <v>79</v>
      </c>
      <c r="K103" s="15" t="s">
        <v>86</v>
      </c>
      <c r="L103" s="14" t="s">
        <v>87</v>
      </c>
      <c r="M103" s="72" t="s">
        <v>82</v>
      </c>
      <c r="N103" s="70">
        <v>1</v>
      </c>
      <c r="O103" s="70">
        <v>0</v>
      </c>
      <c r="P103" s="70">
        <v>0</v>
      </c>
      <c r="Q103" s="70">
        <v>0</v>
      </c>
      <c r="R103" s="70">
        <v>0</v>
      </c>
      <c r="S103" s="70">
        <v>1</v>
      </c>
      <c r="T103" s="70">
        <v>1</v>
      </c>
      <c r="U103" s="70">
        <v>1</v>
      </c>
      <c r="V103" s="70">
        <v>0</v>
      </c>
      <c r="W103" s="71" t="s">
        <v>83</v>
      </c>
      <c r="X103" s="72">
        <v>0</v>
      </c>
    </row>
    <row r="104" spans="1:24">
      <c r="A104" s="10" t="s">
        <v>322</v>
      </c>
      <c r="B104" s="10" t="s">
        <v>136</v>
      </c>
      <c r="C104" s="13" t="s">
        <v>323</v>
      </c>
      <c r="D104" s="10" t="s">
        <v>16</v>
      </c>
      <c r="E104" s="10" t="s">
        <v>76</v>
      </c>
      <c r="F104" s="13" t="s">
        <v>38</v>
      </c>
      <c r="G104" s="10" t="s">
        <v>8</v>
      </c>
      <c r="H104" s="10" t="s">
        <v>77</v>
      </c>
      <c r="I104" s="10" t="s">
        <v>78</v>
      </c>
      <c r="J104" s="14" t="s">
        <v>79</v>
      </c>
      <c r="K104" s="15" t="s">
        <v>86</v>
      </c>
      <c r="L104" s="14" t="s">
        <v>87</v>
      </c>
      <c r="M104" s="72" t="s">
        <v>82</v>
      </c>
      <c r="N104" s="70">
        <v>1</v>
      </c>
      <c r="O104" s="70">
        <v>0</v>
      </c>
      <c r="P104" s="70">
        <v>0</v>
      </c>
      <c r="Q104" s="70">
        <v>0</v>
      </c>
      <c r="R104" s="70">
        <v>0</v>
      </c>
      <c r="S104" s="70">
        <v>1</v>
      </c>
      <c r="T104" s="70">
        <v>1</v>
      </c>
      <c r="U104" s="70">
        <v>1</v>
      </c>
      <c r="V104" s="70">
        <v>0</v>
      </c>
      <c r="W104" s="71" t="s">
        <v>83</v>
      </c>
      <c r="X104" s="72">
        <v>0</v>
      </c>
    </row>
    <row r="105" spans="1:24">
      <c r="A105" s="10" t="s">
        <v>324</v>
      </c>
      <c r="B105" s="10" t="s">
        <v>136</v>
      </c>
      <c r="C105" s="13" t="s">
        <v>325</v>
      </c>
      <c r="D105" s="10" t="s">
        <v>16</v>
      </c>
      <c r="E105" s="10" t="s">
        <v>76</v>
      </c>
      <c r="F105" s="13" t="s">
        <v>40</v>
      </c>
      <c r="G105" s="10" t="s">
        <v>7</v>
      </c>
      <c r="H105" s="10" t="s">
        <v>179</v>
      </c>
      <c r="I105" s="10" t="s">
        <v>78</v>
      </c>
      <c r="J105" s="14" t="s">
        <v>79</v>
      </c>
      <c r="K105" s="15" t="s">
        <v>86</v>
      </c>
      <c r="L105" s="14" t="s">
        <v>87</v>
      </c>
      <c r="M105" s="72" t="s">
        <v>124</v>
      </c>
      <c r="N105" s="70">
        <v>0</v>
      </c>
      <c r="O105" s="70">
        <v>0</v>
      </c>
      <c r="P105" s="70">
        <v>0</v>
      </c>
      <c r="Q105" s="70">
        <v>0</v>
      </c>
      <c r="R105" s="70">
        <v>0</v>
      </c>
      <c r="S105" s="70">
        <v>0</v>
      </c>
      <c r="T105" s="70">
        <v>0</v>
      </c>
      <c r="U105" s="70">
        <v>0</v>
      </c>
      <c r="V105" s="70">
        <v>0</v>
      </c>
      <c r="W105" s="71" t="s">
        <v>83</v>
      </c>
      <c r="X105" s="72">
        <v>0</v>
      </c>
    </row>
    <row r="106" spans="1:24">
      <c r="A106" s="10" t="s">
        <v>326</v>
      </c>
      <c r="B106" s="10" t="s">
        <v>136</v>
      </c>
      <c r="C106" s="13" t="s">
        <v>327</v>
      </c>
      <c r="D106" s="10" t="s">
        <v>16</v>
      </c>
      <c r="E106" s="10" t="s">
        <v>76</v>
      </c>
      <c r="F106" s="13" t="s">
        <v>39</v>
      </c>
      <c r="G106" s="10" t="s">
        <v>7</v>
      </c>
      <c r="H106" s="10" t="s">
        <v>77</v>
      </c>
      <c r="I106" s="10" t="s">
        <v>78</v>
      </c>
      <c r="J106" s="14" t="s">
        <v>79</v>
      </c>
      <c r="K106" s="15" t="s">
        <v>86</v>
      </c>
      <c r="L106" s="14" t="s">
        <v>87</v>
      </c>
      <c r="M106" s="72" t="s">
        <v>82</v>
      </c>
      <c r="N106" s="70">
        <v>1</v>
      </c>
      <c r="O106" s="70">
        <v>6</v>
      </c>
      <c r="P106" s="70">
        <v>3</v>
      </c>
      <c r="Q106" s="70">
        <v>3</v>
      </c>
      <c r="R106" s="70">
        <v>0</v>
      </c>
      <c r="S106" s="70">
        <v>7</v>
      </c>
      <c r="T106" s="70">
        <v>3</v>
      </c>
      <c r="U106" s="70">
        <v>4</v>
      </c>
      <c r="V106" s="70">
        <v>0</v>
      </c>
      <c r="W106" s="71" t="s">
        <v>83</v>
      </c>
      <c r="X106" s="72">
        <v>0</v>
      </c>
    </row>
    <row r="107" spans="1:24">
      <c r="A107" s="10" t="s">
        <v>328</v>
      </c>
      <c r="B107" s="10" t="s">
        <v>136</v>
      </c>
      <c r="C107" s="13" t="s">
        <v>329</v>
      </c>
      <c r="D107" s="10" t="s">
        <v>16</v>
      </c>
      <c r="E107" s="10" t="s">
        <v>76</v>
      </c>
      <c r="F107" s="13" t="s">
        <v>33</v>
      </c>
      <c r="G107" s="10" t="s">
        <v>8</v>
      </c>
      <c r="H107" s="10" t="s">
        <v>77</v>
      </c>
      <c r="I107" s="10" t="s">
        <v>78</v>
      </c>
      <c r="J107" s="14" t="s">
        <v>79</v>
      </c>
      <c r="K107" s="15" t="s">
        <v>86</v>
      </c>
      <c r="L107" s="14" t="s">
        <v>87</v>
      </c>
      <c r="M107" s="72" t="s">
        <v>124</v>
      </c>
      <c r="N107" s="70">
        <v>0</v>
      </c>
      <c r="O107" s="70">
        <v>0</v>
      </c>
      <c r="P107" s="70">
        <v>0</v>
      </c>
      <c r="Q107" s="70">
        <v>0</v>
      </c>
      <c r="R107" s="70">
        <v>0</v>
      </c>
      <c r="S107" s="70">
        <v>0</v>
      </c>
      <c r="T107" s="70">
        <v>1</v>
      </c>
      <c r="U107" s="70">
        <v>1</v>
      </c>
      <c r="V107" s="70">
        <v>0</v>
      </c>
      <c r="W107" s="71" t="s">
        <v>83</v>
      </c>
      <c r="X107" s="73" t="s">
        <v>125</v>
      </c>
    </row>
    <row r="108" spans="1:24">
      <c r="A108" s="10" t="s">
        <v>330</v>
      </c>
      <c r="B108" s="10" t="s">
        <v>136</v>
      </c>
      <c r="C108" s="13" t="s">
        <v>331</v>
      </c>
      <c r="D108" s="10" t="s">
        <v>16</v>
      </c>
      <c r="E108" s="10" t="s">
        <v>76</v>
      </c>
      <c r="F108" s="13" t="s">
        <v>33</v>
      </c>
      <c r="G108" s="10" t="s">
        <v>8</v>
      </c>
      <c r="H108" s="10" t="s">
        <v>90</v>
      </c>
      <c r="I108" s="10" t="s">
        <v>78</v>
      </c>
      <c r="J108" s="14" t="s">
        <v>79</v>
      </c>
      <c r="K108" s="15" t="s">
        <v>86</v>
      </c>
      <c r="L108" s="14" t="s">
        <v>87</v>
      </c>
      <c r="M108" s="72" t="s">
        <v>82</v>
      </c>
      <c r="N108" s="70">
        <v>1</v>
      </c>
      <c r="O108" s="70">
        <v>2</v>
      </c>
      <c r="P108" s="70">
        <v>2</v>
      </c>
      <c r="Q108" s="70">
        <v>0</v>
      </c>
      <c r="R108" s="70">
        <v>0</v>
      </c>
      <c r="S108" s="70">
        <v>3</v>
      </c>
      <c r="T108" s="70">
        <v>3</v>
      </c>
      <c r="U108" s="70">
        <v>0</v>
      </c>
      <c r="V108" s="70">
        <v>0</v>
      </c>
      <c r="W108" s="71" t="s">
        <v>83</v>
      </c>
      <c r="X108" s="72">
        <v>0</v>
      </c>
    </row>
    <row r="109" spans="1:24">
      <c r="A109" s="10" t="s">
        <v>332</v>
      </c>
      <c r="B109" s="10" t="s">
        <v>136</v>
      </c>
      <c r="C109" s="13" t="s">
        <v>333</v>
      </c>
      <c r="D109" s="10" t="s">
        <v>16</v>
      </c>
      <c r="E109" s="10" t="s">
        <v>76</v>
      </c>
      <c r="F109" s="13" t="s">
        <v>42</v>
      </c>
      <c r="G109" s="10" t="s">
        <v>7</v>
      </c>
      <c r="H109" s="10" t="s">
        <v>77</v>
      </c>
      <c r="I109" s="10" t="s">
        <v>78</v>
      </c>
      <c r="J109" s="14" t="s">
        <v>79</v>
      </c>
      <c r="K109" s="15" t="s">
        <v>86</v>
      </c>
      <c r="L109" s="14" t="s">
        <v>87</v>
      </c>
      <c r="M109" s="72" t="s">
        <v>124</v>
      </c>
      <c r="N109" s="70">
        <v>0</v>
      </c>
      <c r="O109" s="70">
        <v>0</v>
      </c>
      <c r="P109" s="70">
        <v>0</v>
      </c>
      <c r="Q109" s="70">
        <v>0</v>
      </c>
      <c r="R109" s="70">
        <v>0</v>
      </c>
      <c r="S109" s="70">
        <v>0</v>
      </c>
      <c r="T109" s="70">
        <v>0</v>
      </c>
      <c r="U109" s="70">
        <v>1</v>
      </c>
      <c r="V109" s="70">
        <v>0</v>
      </c>
      <c r="W109" s="71" t="s">
        <v>83</v>
      </c>
      <c r="X109" s="73" t="s">
        <v>138</v>
      </c>
    </row>
    <row r="110" spans="1:24">
      <c r="A110" s="10" t="s">
        <v>334</v>
      </c>
      <c r="B110" s="10" t="s">
        <v>136</v>
      </c>
      <c r="C110" s="13" t="s">
        <v>335</v>
      </c>
      <c r="D110" s="10" t="s">
        <v>16</v>
      </c>
      <c r="E110" s="10" t="s">
        <v>76</v>
      </c>
      <c r="F110" s="13" t="s">
        <v>30</v>
      </c>
      <c r="G110" s="10" t="s">
        <v>8</v>
      </c>
      <c r="H110" s="10" t="s">
        <v>77</v>
      </c>
      <c r="I110" s="10" t="s">
        <v>78</v>
      </c>
      <c r="J110" s="14" t="s">
        <v>79</v>
      </c>
      <c r="K110" s="15" t="s">
        <v>80</v>
      </c>
      <c r="L110" s="14" t="s">
        <v>81</v>
      </c>
      <c r="M110" s="72" t="s">
        <v>124</v>
      </c>
      <c r="N110" s="70">
        <v>0</v>
      </c>
      <c r="O110" s="70">
        <v>0</v>
      </c>
      <c r="P110" s="70">
        <v>0</v>
      </c>
      <c r="Q110" s="70">
        <v>0</v>
      </c>
      <c r="R110" s="70">
        <v>0</v>
      </c>
      <c r="S110" s="70">
        <v>0</v>
      </c>
      <c r="T110" s="70">
        <v>1</v>
      </c>
      <c r="U110" s="70">
        <v>1</v>
      </c>
      <c r="V110" s="70">
        <v>0</v>
      </c>
      <c r="W110" s="71" t="s">
        <v>83</v>
      </c>
      <c r="X110" s="73" t="s">
        <v>125</v>
      </c>
    </row>
    <row r="111" spans="1:24">
      <c r="A111" s="10" t="s">
        <v>336</v>
      </c>
      <c r="B111" s="10" t="s">
        <v>136</v>
      </c>
      <c r="C111" s="13" t="s">
        <v>337</v>
      </c>
      <c r="D111" s="10" t="s">
        <v>16</v>
      </c>
      <c r="E111" s="10" t="s">
        <v>76</v>
      </c>
      <c r="F111" s="13" t="s">
        <v>43</v>
      </c>
      <c r="G111" s="10" t="s">
        <v>7</v>
      </c>
      <c r="H111" s="10" t="s">
        <v>77</v>
      </c>
      <c r="I111" s="10" t="s">
        <v>78</v>
      </c>
      <c r="J111" s="14" t="s">
        <v>79</v>
      </c>
      <c r="K111" s="15" t="s">
        <v>86</v>
      </c>
      <c r="L111" s="14" t="s">
        <v>87</v>
      </c>
      <c r="M111" s="72" t="s">
        <v>82</v>
      </c>
      <c r="N111" s="70">
        <v>1</v>
      </c>
      <c r="O111" s="70">
        <v>0</v>
      </c>
      <c r="P111" s="70">
        <v>0</v>
      </c>
      <c r="Q111" s="70">
        <v>0</v>
      </c>
      <c r="R111" s="70">
        <v>0</v>
      </c>
      <c r="S111" s="70">
        <v>1</v>
      </c>
      <c r="T111" s="70">
        <v>0</v>
      </c>
      <c r="U111" s="70">
        <v>1</v>
      </c>
      <c r="V111" s="70">
        <v>0</v>
      </c>
      <c r="W111" s="71" t="s">
        <v>83</v>
      </c>
      <c r="X111" s="72">
        <v>0</v>
      </c>
    </row>
    <row r="112" spans="1:24">
      <c r="A112" s="10" t="s">
        <v>338</v>
      </c>
      <c r="B112" s="10" t="s">
        <v>136</v>
      </c>
      <c r="C112" s="13" t="s">
        <v>339</v>
      </c>
      <c r="D112" s="10" t="s">
        <v>16</v>
      </c>
      <c r="E112" s="10" t="s">
        <v>76</v>
      </c>
      <c r="F112" s="13" t="s">
        <v>42</v>
      </c>
      <c r="G112" s="10" t="s">
        <v>7</v>
      </c>
      <c r="H112" s="10" t="s">
        <v>77</v>
      </c>
      <c r="I112" s="10" t="s">
        <v>78</v>
      </c>
      <c r="J112" s="14" t="s">
        <v>79</v>
      </c>
      <c r="K112" s="15" t="s">
        <v>86</v>
      </c>
      <c r="L112" s="14" t="s">
        <v>87</v>
      </c>
      <c r="M112" s="72" t="s">
        <v>124</v>
      </c>
      <c r="N112" s="70">
        <v>0</v>
      </c>
      <c r="O112" s="70">
        <v>0</v>
      </c>
      <c r="P112" s="70">
        <v>0</v>
      </c>
      <c r="Q112" s="70">
        <v>0</v>
      </c>
      <c r="R112" s="70">
        <v>0</v>
      </c>
      <c r="S112" s="70">
        <v>0</v>
      </c>
      <c r="T112" s="70">
        <v>0</v>
      </c>
      <c r="U112" s="70">
        <v>1</v>
      </c>
      <c r="V112" s="70">
        <v>0</v>
      </c>
      <c r="W112" s="71" t="s">
        <v>83</v>
      </c>
      <c r="X112" s="73" t="s">
        <v>138</v>
      </c>
    </row>
    <row r="113" spans="1:24">
      <c r="A113" s="10" t="s">
        <v>340</v>
      </c>
      <c r="B113" s="10" t="s">
        <v>136</v>
      </c>
      <c r="C113" s="13" t="s">
        <v>341</v>
      </c>
      <c r="D113" s="10" t="s">
        <v>16</v>
      </c>
      <c r="E113" s="10" t="s">
        <v>76</v>
      </c>
      <c r="F113" s="13" t="s">
        <v>39</v>
      </c>
      <c r="G113" s="10" t="s">
        <v>8</v>
      </c>
      <c r="H113" s="10" t="s">
        <v>77</v>
      </c>
      <c r="I113" s="10" t="s">
        <v>78</v>
      </c>
      <c r="J113" s="14" t="s">
        <v>79</v>
      </c>
      <c r="K113" s="15" t="s">
        <v>86</v>
      </c>
      <c r="L113" s="14" t="s">
        <v>87</v>
      </c>
      <c r="M113" s="72" t="s">
        <v>82</v>
      </c>
      <c r="N113" s="70">
        <v>1</v>
      </c>
      <c r="O113" s="70">
        <v>0</v>
      </c>
      <c r="P113" s="70">
        <v>0</v>
      </c>
      <c r="Q113" s="70">
        <v>0</v>
      </c>
      <c r="R113" s="70">
        <v>0</v>
      </c>
      <c r="S113" s="70">
        <v>1</v>
      </c>
      <c r="T113" s="70">
        <v>1</v>
      </c>
      <c r="U113" s="70">
        <v>1</v>
      </c>
      <c r="V113" s="70">
        <v>0</v>
      </c>
      <c r="W113" s="71" t="s">
        <v>83</v>
      </c>
      <c r="X113" s="72">
        <v>0</v>
      </c>
    </row>
    <row r="114" spans="1:24">
      <c r="A114" s="10" t="s">
        <v>342</v>
      </c>
      <c r="B114" s="10" t="s">
        <v>136</v>
      </c>
      <c r="C114" s="13" t="s">
        <v>343</v>
      </c>
      <c r="D114" s="10" t="s">
        <v>16</v>
      </c>
      <c r="E114" s="10" t="s">
        <v>76</v>
      </c>
      <c r="F114" s="13" t="s">
        <v>34</v>
      </c>
      <c r="G114" s="10" t="s">
        <v>7</v>
      </c>
      <c r="H114" s="10" t="s">
        <v>77</v>
      </c>
      <c r="I114" s="10" t="s">
        <v>78</v>
      </c>
      <c r="J114" s="14" t="s">
        <v>79</v>
      </c>
      <c r="K114" s="15" t="s">
        <v>86</v>
      </c>
      <c r="L114" s="14" t="s">
        <v>87</v>
      </c>
      <c r="M114" s="72" t="s">
        <v>124</v>
      </c>
      <c r="N114" s="70">
        <v>0</v>
      </c>
      <c r="O114" s="70">
        <v>0</v>
      </c>
      <c r="P114" s="70">
        <v>0</v>
      </c>
      <c r="Q114" s="70">
        <v>0</v>
      </c>
      <c r="R114" s="70">
        <v>0</v>
      </c>
      <c r="S114" s="70">
        <v>0</v>
      </c>
      <c r="T114" s="70">
        <v>0</v>
      </c>
      <c r="U114" s="70">
        <v>1</v>
      </c>
      <c r="V114" s="70">
        <v>0</v>
      </c>
      <c r="W114" s="71" t="s">
        <v>83</v>
      </c>
      <c r="X114" s="73" t="s">
        <v>138</v>
      </c>
    </row>
    <row r="115" spans="1:24">
      <c r="A115" s="10" t="s">
        <v>344</v>
      </c>
      <c r="B115" s="10" t="s">
        <v>136</v>
      </c>
      <c r="C115" s="13" t="s">
        <v>345</v>
      </c>
      <c r="D115" s="10" t="s">
        <v>16</v>
      </c>
      <c r="E115" s="10" t="s">
        <v>76</v>
      </c>
      <c r="F115" s="13" t="s">
        <v>33</v>
      </c>
      <c r="G115" s="10" t="s">
        <v>8</v>
      </c>
      <c r="H115" s="10" t="s">
        <v>77</v>
      </c>
      <c r="I115" s="10" t="s">
        <v>78</v>
      </c>
      <c r="J115" s="14" t="s">
        <v>79</v>
      </c>
      <c r="K115" s="15" t="s">
        <v>86</v>
      </c>
      <c r="L115" s="14" t="s">
        <v>87</v>
      </c>
      <c r="M115" s="72" t="s">
        <v>82</v>
      </c>
      <c r="N115" s="70">
        <v>1</v>
      </c>
      <c r="O115" s="70">
        <v>0</v>
      </c>
      <c r="P115" s="70">
        <v>0</v>
      </c>
      <c r="Q115" s="70">
        <v>0</v>
      </c>
      <c r="R115" s="70">
        <v>0</v>
      </c>
      <c r="S115" s="70">
        <v>1</v>
      </c>
      <c r="T115" s="70">
        <v>1</v>
      </c>
      <c r="U115" s="70">
        <v>1</v>
      </c>
      <c r="V115" s="70">
        <v>0</v>
      </c>
      <c r="W115" s="71" t="s">
        <v>83</v>
      </c>
      <c r="X115" s="72">
        <v>0</v>
      </c>
    </row>
    <row r="116" spans="1:24">
      <c r="A116" s="10" t="s">
        <v>346</v>
      </c>
      <c r="B116" s="10" t="s">
        <v>136</v>
      </c>
      <c r="C116" s="13" t="s">
        <v>347</v>
      </c>
      <c r="D116" s="10" t="s">
        <v>16</v>
      </c>
      <c r="E116" s="10" t="s">
        <v>76</v>
      </c>
      <c r="F116" s="13" t="s">
        <v>41</v>
      </c>
      <c r="G116" s="10" t="s">
        <v>8</v>
      </c>
      <c r="H116" s="10" t="s">
        <v>77</v>
      </c>
      <c r="I116" s="10" t="s">
        <v>78</v>
      </c>
      <c r="J116" s="14" t="s">
        <v>79</v>
      </c>
      <c r="K116" s="15" t="s">
        <v>86</v>
      </c>
      <c r="L116" s="14" t="s">
        <v>87</v>
      </c>
      <c r="M116" s="72" t="s">
        <v>82</v>
      </c>
      <c r="N116" s="70">
        <v>1</v>
      </c>
      <c r="O116" s="70">
        <v>0</v>
      </c>
      <c r="P116" s="70">
        <v>0</v>
      </c>
      <c r="Q116" s="70">
        <v>0</v>
      </c>
      <c r="R116" s="70">
        <v>0</v>
      </c>
      <c r="S116" s="70">
        <v>1</v>
      </c>
      <c r="T116" s="70">
        <v>1</v>
      </c>
      <c r="U116" s="70">
        <v>1</v>
      </c>
      <c r="V116" s="70">
        <v>0</v>
      </c>
      <c r="W116" s="71" t="s">
        <v>83</v>
      </c>
      <c r="X116" s="72">
        <v>0</v>
      </c>
    </row>
    <row r="117" spans="1:24">
      <c r="A117" s="10" t="s">
        <v>348</v>
      </c>
      <c r="B117" s="10" t="s">
        <v>136</v>
      </c>
      <c r="C117" s="13" t="s">
        <v>349</v>
      </c>
      <c r="D117" s="10" t="s">
        <v>16</v>
      </c>
      <c r="E117" s="10" t="s">
        <v>76</v>
      </c>
      <c r="F117" s="13" t="s">
        <v>33</v>
      </c>
      <c r="G117" s="10" t="s">
        <v>8</v>
      </c>
      <c r="H117" s="10" t="s">
        <v>77</v>
      </c>
      <c r="I117" s="10" t="s">
        <v>78</v>
      </c>
      <c r="J117" s="14" t="s">
        <v>79</v>
      </c>
      <c r="K117" s="15" t="s">
        <v>86</v>
      </c>
      <c r="L117" s="14" t="s">
        <v>87</v>
      </c>
      <c r="M117" s="72" t="s">
        <v>124</v>
      </c>
      <c r="N117" s="70">
        <v>0</v>
      </c>
      <c r="O117" s="70">
        <v>0</v>
      </c>
      <c r="P117" s="70">
        <v>0</v>
      </c>
      <c r="Q117" s="70">
        <v>0</v>
      </c>
      <c r="R117" s="70">
        <v>0</v>
      </c>
      <c r="S117" s="70">
        <v>0</v>
      </c>
      <c r="T117" s="70">
        <v>1</v>
      </c>
      <c r="U117" s="70">
        <v>1</v>
      </c>
      <c r="V117" s="70">
        <v>0</v>
      </c>
      <c r="W117" s="71" t="s">
        <v>83</v>
      </c>
      <c r="X117" s="73" t="s">
        <v>125</v>
      </c>
    </row>
    <row r="118" spans="1:24">
      <c r="A118" s="10" t="s">
        <v>350</v>
      </c>
      <c r="B118" s="10" t="s">
        <v>136</v>
      </c>
      <c r="C118" s="13" t="s">
        <v>351</v>
      </c>
      <c r="D118" s="10" t="s">
        <v>16</v>
      </c>
      <c r="E118" s="10" t="s">
        <v>76</v>
      </c>
      <c r="F118" s="13" t="s">
        <v>36</v>
      </c>
      <c r="G118" s="10" t="s">
        <v>7</v>
      </c>
      <c r="H118" s="10" t="s">
        <v>77</v>
      </c>
      <c r="I118" s="10" t="s">
        <v>78</v>
      </c>
      <c r="J118" s="14" t="s">
        <v>79</v>
      </c>
      <c r="K118" s="15" t="s">
        <v>86</v>
      </c>
      <c r="L118" s="14" t="s">
        <v>87</v>
      </c>
      <c r="M118" s="72" t="s">
        <v>124</v>
      </c>
      <c r="N118" s="70">
        <v>0</v>
      </c>
      <c r="O118" s="70">
        <v>0</v>
      </c>
      <c r="P118" s="70">
        <v>0</v>
      </c>
      <c r="Q118" s="70">
        <v>0</v>
      </c>
      <c r="R118" s="70">
        <v>0</v>
      </c>
      <c r="S118" s="70">
        <v>0</v>
      </c>
      <c r="T118" s="70">
        <v>0</v>
      </c>
      <c r="U118" s="70">
        <v>1</v>
      </c>
      <c r="V118" s="70">
        <v>0</v>
      </c>
      <c r="W118" s="71" t="s">
        <v>83</v>
      </c>
      <c r="X118" s="73" t="s">
        <v>138</v>
      </c>
    </row>
    <row r="119" spans="1:24">
      <c r="A119" s="10" t="s">
        <v>352</v>
      </c>
      <c r="B119" s="10" t="s">
        <v>136</v>
      </c>
      <c r="C119" s="13" t="s">
        <v>353</v>
      </c>
      <c r="D119" s="10" t="s">
        <v>16</v>
      </c>
      <c r="E119" s="10" t="s">
        <v>76</v>
      </c>
      <c r="F119" s="13" t="s">
        <v>42</v>
      </c>
      <c r="G119" s="10" t="s">
        <v>7</v>
      </c>
      <c r="H119" s="10" t="s">
        <v>77</v>
      </c>
      <c r="I119" s="10" t="s">
        <v>78</v>
      </c>
      <c r="J119" s="14" t="s">
        <v>79</v>
      </c>
      <c r="K119" s="15" t="s">
        <v>86</v>
      </c>
      <c r="L119" s="14" t="s">
        <v>87</v>
      </c>
      <c r="M119" s="72" t="s">
        <v>124</v>
      </c>
      <c r="N119" s="70">
        <v>0</v>
      </c>
      <c r="O119" s="70">
        <v>0</v>
      </c>
      <c r="P119" s="70">
        <v>0</v>
      </c>
      <c r="Q119" s="70">
        <v>0</v>
      </c>
      <c r="R119" s="70">
        <v>0</v>
      </c>
      <c r="S119" s="70">
        <v>0</v>
      </c>
      <c r="T119" s="70">
        <v>0</v>
      </c>
      <c r="U119" s="70">
        <v>1</v>
      </c>
      <c r="V119" s="70">
        <v>0</v>
      </c>
      <c r="W119" s="71" t="s">
        <v>83</v>
      </c>
      <c r="X119" s="73" t="s">
        <v>138</v>
      </c>
    </row>
    <row r="120" spans="1:24">
      <c r="A120" s="10" t="s">
        <v>354</v>
      </c>
      <c r="B120" s="10" t="s">
        <v>136</v>
      </c>
      <c r="C120" s="13" t="s">
        <v>355</v>
      </c>
      <c r="D120" s="10" t="s">
        <v>16</v>
      </c>
      <c r="E120" s="10" t="s">
        <v>76</v>
      </c>
      <c r="F120" s="13" t="s">
        <v>33</v>
      </c>
      <c r="G120" s="10" t="s">
        <v>8</v>
      </c>
      <c r="H120" s="10" t="s">
        <v>179</v>
      </c>
      <c r="I120" s="10" t="s">
        <v>78</v>
      </c>
      <c r="J120" s="14" t="s">
        <v>79</v>
      </c>
      <c r="K120" s="15" t="s">
        <v>86</v>
      </c>
      <c r="L120" s="14" t="s">
        <v>87</v>
      </c>
      <c r="M120" s="72" t="s">
        <v>124</v>
      </c>
      <c r="N120" s="70">
        <v>0</v>
      </c>
      <c r="O120" s="70">
        <v>0</v>
      </c>
      <c r="P120" s="70">
        <v>0</v>
      </c>
      <c r="Q120" s="70">
        <v>0</v>
      </c>
      <c r="R120" s="70">
        <v>0</v>
      </c>
      <c r="S120" s="70">
        <v>0</v>
      </c>
      <c r="T120" s="70">
        <v>1</v>
      </c>
      <c r="U120" s="70">
        <v>0</v>
      </c>
      <c r="V120" s="70">
        <v>0</v>
      </c>
      <c r="W120" s="71" t="s">
        <v>83</v>
      </c>
      <c r="X120" s="73" t="s">
        <v>209</v>
      </c>
    </row>
    <row r="121" spans="1:24">
      <c r="A121" s="10" t="s">
        <v>356</v>
      </c>
      <c r="B121" s="10" t="s">
        <v>136</v>
      </c>
      <c r="C121" s="13" t="s">
        <v>357</v>
      </c>
      <c r="D121" s="10" t="s">
        <v>16</v>
      </c>
      <c r="E121" s="10" t="s">
        <v>76</v>
      </c>
      <c r="F121" s="13" t="s">
        <v>42</v>
      </c>
      <c r="G121" s="10" t="s">
        <v>7</v>
      </c>
      <c r="H121" s="10" t="s">
        <v>77</v>
      </c>
      <c r="I121" s="10" t="s">
        <v>78</v>
      </c>
      <c r="J121" s="14" t="s">
        <v>79</v>
      </c>
      <c r="K121" s="15" t="s">
        <v>86</v>
      </c>
      <c r="L121" s="14" t="s">
        <v>87</v>
      </c>
      <c r="M121" s="72" t="s">
        <v>82</v>
      </c>
      <c r="N121" s="70">
        <v>1</v>
      </c>
      <c r="O121" s="70">
        <v>0</v>
      </c>
      <c r="P121" s="70">
        <v>0</v>
      </c>
      <c r="Q121" s="70">
        <v>0</v>
      </c>
      <c r="R121" s="70">
        <v>0</v>
      </c>
      <c r="S121" s="70">
        <v>1</v>
      </c>
      <c r="T121" s="70">
        <v>0</v>
      </c>
      <c r="U121" s="70">
        <v>1</v>
      </c>
      <c r="V121" s="70">
        <v>0</v>
      </c>
      <c r="W121" s="71" t="s">
        <v>83</v>
      </c>
      <c r="X121" s="72">
        <v>0</v>
      </c>
    </row>
    <row r="122" spans="1:24">
      <c r="A122" s="10" t="s">
        <v>358</v>
      </c>
      <c r="B122" s="10" t="s">
        <v>140</v>
      </c>
      <c r="C122" s="13" t="s">
        <v>359</v>
      </c>
      <c r="D122" s="10" t="s">
        <v>18</v>
      </c>
      <c r="E122" s="10" t="s">
        <v>76</v>
      </c>
      <c r="F122" s="13" t="s">
        <v>33</v>
      </c>
      <c r="G122" s="10" t="s">
        <v>7</v>
      </c>
      <c r="H122" s="10" t="s">
        <v>77</v>
      </c>
      <c r="I122" s="10" t="s">
        <v>78</v>
      </c>
      <c r="J122" s="14" t="s">
        <v>79</v>
      </c>
      <c r="K122" s="15" t="s">
        <v>80</v>
      </c>
      <c r="L122" s="14" t="s">
        <v>81</v>
      </c>
      <c r="M122" s="72" t="s">
        <v>82</v>
      </c>
      <c r="N122" s="70">
        <v>1</v>
      </c>
      <c r="O122" s="70">
        <v>0</v>
      </c>
      <c r="P122" s="70">
        <v>0</v>
      </c>
      <c r="Q122" s="70">
        <v>0</v>
      </c>
      <c r="R122" s="70">
        <v>0</v>
      </c>
      <c r="S122" s="70">
        <v>1</v>
      </c>
      <c r="T122" s="70">
        <v>0</v>
      </c>
      <c r="U122" s="70">
        <v>1</v>
      </c>
      <c r="V122" s="70">
        <v>0</v>
      </c>
      <c r="W122" s="71" t="s">
        <v>83</v>
      </c>
      <c r="X122" s="72">
        <v>0</v>
      </c>
    </row>
    <row r="123" spans="1:24">
      <c r="A123" s="10" t="s">
        <v>360</v>
      </c>
      <c r="B123" s="10" t="s">
        <v>140</v>
      </c>
      <c r="C123" s="13" t="s">
        <v>361</v>
      </c>
      <c r="D123" s="10" t="s">
        <v>18</v>
      </c>
      <c r="E123" s="10" t="s">
        <v>76</v>
      </c>
      <c r="F123" s="13" t="s">
        <v>33</v>
      </c>
      <c r="G123" s="10" t="s">
        <v>8</v>
      </c>
      <c r="H123" s="10" t="s">
        <v>77</v>
      </c>
      <c r="I123" s="10" t="s">
        <v>78</v>
      </c>
      <c r="J123" s="14" t="s">
        <v>79</v>
      </c>
      <c r="K123" s="15" t="s">
        <v>86</v>
      </c>
      <c r="L123" s="14" t="s">
        <v>87</v>
      </c>
      <c r="M123" s="72" t="s">
        <v>82</v>
      </c>
      <c r="N123" s="70">
        <v>1</v>
      </c>
      <c r="O123" s="70">
        <v>2</v>
      </c>
      <c r="P123" s="70">
        <v>2</v>
      </c>
      <c r="Q123" s="70">
        <v>2</v>
      </c>
      <c r="R123" s="70">
        <v>0</v>
      </c>
      <c r="S123" s="70">
        <v>3</v>
      </c>
      <c r="T123" s="70">
        <v>3</v>
      </c>
      <c r="U123" s="70">
        <v>3</v>
      </c>
      <c r="V123" s="70">
        <v>0</v>
      </c>
      <c r="W123" s="71" t="s">
        <v>83</v>
      </c>
      <c r="X123" s="72">
        <v>0</v>
      </c>
    </row>
    <row r="124" spans="1:24">
      <c r="A124" s="10" t="s">
        <v>362</v>
      </c>
      <c r="B124" s="10" t="s">
        <v>140</v>
      </c>
      <c r="C124" s="13" t="s">
        <v>363</v>
      </c>
      <c r="D124" s="10" t="s">
        <v>18</v>
      </c>
      <c r="E124" s="10" t="s">
        <v>76</v>
      </c>
      <c r="F124" s="13" t="s">
        <v>33</v>
      </c>
      <c r="G124" s="10" t="s">
        <v>7</v>
      </c>
      <c r="H124" s="10" t="s">
        <v>77</v>
      </c>
      <c r="I124" s="10" t="s">
        <v>128</v>
      </c>
      <c r="J124" s="14" t="s">
        <v>79</v>
      </c>
      <c r="K124" s="15" t="s">
        <v>86</v>
      </c>
      <c r="L124" s="14" t="s">
        <v>87</v>
      </c>
      <c r="M124" s="72" t="s">
        <v>82</v>
      </c>
      <c r="N124" s="70">
        <v>1</v>
      </c>
      <c r="O124" s="70">
        <v>9</v>
      </c>
      <c r="P124" s="70">
        <v>4</v>
      </c>
      <c r="Q124" s="70">
        <v>2</v>
      </c>
      <c r="R124" s="70">
        <v>5</v>
      </c>
      <c r="S124" s="70">
        <v>10</v>
      </c>
      <c r="T124" s="70">
        <v>4</v>
      </c>
      <c r="U124" s="70">
        <v>3</v>
      </c>
      <c r="V124" s="70">
        <v>6</v>
      </c>
      <c r="W124" s="71" t="s">
        <v>83</v>
      </c>
      <c r="X124" s="72">
        <v>0</v>
      </c>
    </row>
    <row r="125" spans="1:24">
      <c r="A125" s="10" t="s">
        <v>364</v>
      </c>
      <c r="B125" s="10" t="s">
        <v>149</v>
      </c>
      <c r="C125" s="13" t="s">
        <v>365</v>
      </c>
      <c r="D125" s="10" t="s">
        <v>18</v>
      </c>
      <c r="E125" s="10" t="s">
        <v>76</v>
      </c>
      <c r="F125" s="13" t="s">
        <v>33</v>
      </c>
      <c r="G125" s="10" t="s">
        <v>8</v>
      </c>
      <c r="H125" s="10" t="s">
        <v>77</v>
      </c>
      <c r="I125" s="10" t="s">
        <v>78</v>
      </c>
      <c r="J125" s="14" t="s">
        <v>79</v>
      </c>
      <c r="K125" s="15" t="s">
        <v>86</v>
      </c>
      <c r="L125" s="14" t="s">
        <v>87</v>
      </c>
      <c r="M125" s="72" t="s">
        <v>82</v>
      </c>
      <c r="N125" s="70">
        <v>1</v>
      </c>
      <c r="O125" s="70">
        <v>2</v>
      </c>
      <c r="P125" s="70">
        <v>1</v>
      </c>
      <c r="Q125" s="70">
        <v>0</v>
      </c>
      <c r="R125" s="70">
        <v>0</v>
      </c>
      <c r="S125" s="70">
        <v>3</v>
      </c>
      <c r="T125" s="70">
        <v>2</v>
      </c>
      <c r="U125" s="70">
        <v>1</v>
      </c>
      <c r="V125" s="70">
        <v>0</v>
      </c>
      <c r="W125" s="71" t="s">
        <v>83</v>
      </c>
      <c r="X125" s="72">
        <v>0</v>
      </c>
    </row>
    <row r="126" spans="1:24">
      <c r="A126" s="10" t="s">
        <v>366</v>
      </c>
      <c r="B126" s="10" t="s">
        <v>149</v>
      </c>
      <c r="C126" s="13" t="s">
        <v>367</v>
      </c>
      <c r="D126" s="10" t="s">
        <v>18</v>
      </c>
      <c r="E126" s="10" t="s">
        <v>76</v>
      </c>
      <c r="F126" s="13" t="s">
        <v>30</v>
      </c>
      <c r="G126" s="10" t="s">
        <v>7</v>
      </c>
      <c r="H126" s="10" t="s">
        <v>77</v>
      </c>
      <c r="I126" s="10" t="s">
        <v>128</v>
      </c>
      <c r="J126" s="14" t="s">
        <v>79</v>
      </c>
      <c r="K126" s="15" t="s">
        <v>86</v>
      </c>
      <c r="L126" s="14" t="s">
        <v>87</v>
      </c>
      <c r="M126" s="72" t="s">
        <v>82</v>
      </c>
      <c r="N126" s="70">
        <v>1</v>
      </c>
      <c r="O126" s="70">
        <v>0</v>
      </c>
      <c r="P126" s="70">
        <v>0</v>
      </c>
      <c r="Q126" s="70">
        <v>0</v>
      </c>
      <c r="R126" s="70">
        <v>0</v>
      </c>
      <c r="S126" s="70">
        <v>1</v>
      </c>
      <c r="T126" s="70">
        <v>0</v>
      </c>
      <c r="U126" s="70">
        <v>1</v>
      </c>
      <c r="V126" s="70">
        <v>1</v>
      </c>
      <c r="W126" s="71" t="s">
        <v>83</v>
      </c>
      <c r="X126" s="72">
        <v>0</v>
      </c>
    </row>
    <row r="127" spans="1:24">
      <c r="A127" s="10" t="s">
        <v>368</v>
      </c>
      <c r="B127" s="10" t="s">
        <v>140</v>
      </c>
      <c r="C127" s="13" t="s">
        <v>369</v>
      </c>
      <c r="D127" s="10" t="s">
        <v>18</v>
      </c>
      <c r="E127" s="10" t="s">
        <v>76</v>
      </c>
      <c r="F127" s="13" t="s">
        <v>33</v>
      </c>
      <c r="G127" s="10" t="s">
        <v>7</v>
      </c>
      <c r="H127" s="10" t="s">
        <v>77</v>
      </c>
      <c r="I127" s="10" t="s">
        <v>78</v>
      </c>
      <c r="J127" s="14" t="s">
        <v>79</v>
      </c>
      <c r="K127" s="15" t="s">
        <v>86</v>
      </c>
      <c r="L127" s="14" t="s">
        <v>87</v>
      </c>
      <c r="M127" s="72" t="s">
        <v>124</v>
      </c>
      <c r="N127" s="70">
        <v>0</v>
      </c>
      <c r="O127" s="70">
        <v>2</v>
      </c>
      <c r="P127" s="70">
        <v>0</v>
      </c>
      <c r="Q127" s="70">
        <v>2</v>
      </c>
      <c r="R127" s="70">
        <v>0</v>
      </c>
      <c r="S127" s="70">
        <v>2</v>
      </c>
      <c r="T127" s="70">
        <v>0</v>
      </c>
      <c r="U127" s="70">
        <v>3</v>
      </c>
      <c r="V127" s="70">
        <v>0</v>
      </c>
      <c r="W127" s="71" t="s">
        <v>83</v>
      </c>
      <c r="X127" s="73" t="s">
        <v>138</v>
      </c>
    </row>
    <row r="128" spans="1:24">
      <c r="A128" s="10" t="s">
        <v>370</v>
      </c>
      <c r="B128" s="10" t="s">
        <v>149</v>
      </c>
      <c r="C128" s="13" t="s">
        <v>371</v>
      </c>
      <c r="D128" s="10" t="s">
        <v>18</v>
      </c>
      <c r="E128" s="10" t="s">
        <v>76</v>
      </c>
      <c r="F128" s="13" t="s">
        <v>33</v>
      </c>
      <c r="G128" s="10" t="s">
        <v>7</v>
      </c>
      <c r="H128" s="10" t="s">
        <v>77</v>
      </c>
      <c r="I128" s="10" t="s">
        <v>78</v>
      </c>
      <c r="J128" s="14" t="s">
        <v>79</v>
      </c>
      <c r="K128" s="15" t="s">
        <v>86</v>
      </c>
      <c r="L128" s="14" t="s">
        <v>87</v>
      </c>
      <c r="M128" s="72" t="s">
        <v>82</v>
      </c>
      <c r="N128" s="70">
        <v>1</v>
      </c>
      <c r="O128" s="70">
        <v>2</v>
      </c>
      <c r="P128" s="70">
        <v>0</v>
      </c>
      <c r="Q128" s="70">
        <v>1</v>
      </c>
      <c r="R128" s="70">
        <v>0</v>
      </c>
      <c r="S128" s="70">
        <v>3</v>
      </c>
      <c r="T128" s="70">
        <v>0</v>
      </c>
      <c r="U128" s="70">
        <v>2</v>
      </c>
      <c r="V128" s="70">
        <v>0</v>
      </c>
      <c r="W128" s="71" t="s">
        <v>83</v>
      </c>
      <c r="X128" s="72">
        <v>0</v>
      </c>
    </row>
    <row r="129" spans="1:24">
      <c r="A129" s="10" t="s">
        <v>372</v>
      </c>
      <c r="B129" s="10" t="s">
        <v>159</v>
      </c>
      <c r="C129" s="13" t="s">
        <v>373</v>
      </c>
      <c r="D129" s="10" t="s">
        <v>19</v>
      </c>
      <c r="E129" s="10" t="s">
        <v>76</v>
      </c>
      <c r="F129" s="13" t="s">
        <v>33</v>
      </c>
      <c r="G129" s="10" t="s">
        <v>8</v>
      </c>
      <c r="H129" s="10" t="s">
        <v>90</v>
      </c>
      <c r="I129" s="10" t="s">
        <v>78</v>
      </c>
      <c r="J129" s="14" t="s">
        <v>79</v>
      </c>
      <c r="K129" s="15" t="s">
        <v>80</v>
      </c>
      <c r="L129" s="14" t="s">
        <v>81</v>
      </c>
      <c r="M129" s="72" t="s">
        <v>82</v>
      </c>
      <c r="N129" s="70">
        <v>1</v>
      </c>
      <c r="O129" s="70">
        <v>8</v>
      </c>
      <c r="P129" s="70">
        <v>6</v>
      </c>
      <c r="Q129" s="70">
        <v>1</v>
      </c>
      <c r="R129" s="70">
        <v>0</v>
      </c>
      <c r="S129" s="70">
        <v>9</v>
      </c>
      <c r="T129" s="70">
        <v>7</v>
      </c>
      <c r="U129" s="70">
        <v>1</v>
      </c>
      <c r="V129" s="70">
        <v>0</v>
      </c>
      <c r="W129" s="71" t="s">
        <v>83</v>
      </c>
      <c r="X129" s="72">
        <v>0</v>
      </c>
    </row>
    <row r="130" spans="1:24">
      <c r="A130" s="10" t="s">
        <v>374</v>
      </c>
      <c r="B130" s="10" t="s">
        <v>159</v>
      </c>
      <c r="C130" s="13" t="s">
        <v>375</v>
      </c>
      <c r="D130" s="10" t="s">
        <v>19</v>
      </c>
      <c r="E130" s="10" t="s">
        <v>76</v>
      </c>
      <c r="F130" s="13" t="s">
        <v>33</v>
      </c>
      <c r="G130" s="10" t="s">
        <v>8</v>
      </c>
      <c r="H130" s="10" t="s">
        <v>77</v>
      </c>
      <c r="I130" s="10" t="s">
        <v>78</v>
      </c>
      <c r="J130" s="14" t="s">
        <v>79</v>
      </c>
      <c r="K130" s="15" t="s">
        <v>86</v>
      </c>
      <c r="L130" s="14" t="s">
        <v>87</v>
      </c>
      <c r="M130" s="72" t="s">
        <v>82</v>
      </c>
      <c r="N130" s="70">
        <v>1</v>
      </c>
      <c r="O130" s="70">
        <v>2</v>
      </c>
      <c r="P130" s="70">
        <v>2</v>
      </c>
      <c r="Q130" s="70">
        <v>1</v>
      </c>
      <c r="R130" s="70">
        <v>0</v>
      </c>
      <c r="S130" s="70">
        <v>3</v>
      </c>
      <c r="T130" s="70">
        <v>3</v>
      </c>
      <c r="U130" s="70">
        <v>2</v>
      </c>
      <c r="V130" s="70">
        <v>0</v>
      </c>
      <c r="W130" s="71" t="s">
        <v>83</v>
      </c>
      <c r="X130" s="72">
        <v>0</v>
      </c>
    </row>
    <row r="131" spans="1:24">
      <c r="A131" s="10" t="s">
        <v>376</v>
      </c>
      <c r="B131" s="10" t="s">
        <v>159</v>
      </c>
      <c r="C131" s="13" t="s">
        <v>377</v>
      </c>
      <c r="D131" s="10" t="s">
        <v>19</v>
      </c>
      <c r="E131" s="10" t="s">
        <v>76</v>
      </c>
      <c r="F131" s="13" t="s">
        <v>33</v>
      </c>
      <c r="G131" s="10" t="s">
        <v>7</v>
      </c>
      <c r="H131" s="10" t="s">
        <v>77</v>
      </c>
      <c r="I131" s="10" t="s">
        <v>78</v>
      </c>
      <c r="J131" s="14" t="s">
        <v>79</v>
      </c>
      <c r="K131" s="15" t="s">
        <v>86</v>
      </c>
      <c r="L131" s="14" t="s">
        <v>87</v>
      </c>
      <c r="M131" s="72" t="s">
        <v>82</v>
      </c>
      <c r="N131" s="70">
        <v>1</v>
      </c>
      <c r="O131" s="70">
        <v>3</v>
      </c>
      <c r="P131" s="70">
        <v>0</v>
      </c>
      <c r="Q131" s="70">
        <v>3</v>
      </c>
      <c r="R131" s="70">
        <v>0</v>
      </c>
      <c r="S131" s="70">
        <v>4</v>
      </c>
      <c r="T131" s="70">
        <v>0</v>
      </c>
      <c r="U131" s="70">
        <v>4</v>
      </c>
      <c r="V131" s="70">
        <v>0</v>
      </c>
      <c r="W131" s="71" t="s">
        <v>83</v>
      </c>
      <c r="X131" s="72">
        <v>0</v>
      </c>
    </row>
    <row r="132" spans="1:24">
      <c r="A132" s="10" t="s">
        <v>378</v>
      </c>
      <c r="B132" s="10" t="s">
        <v>159</v>
      </c>
      <c r="C132" s="13" t="s">
        <v>379</v>
      </c>
      <c r="D132" s="10" t="s">
        <v>19</v>
      </c>
      <c r="E132" s="10" t="s">
        <v>76</v>
      </c>
      <c r="F132" s="13" t="s">
        <v>37</v>
      </c>
      <c r="G132" s="10" t="s">
        <v>8</v>
      </c>
      <c r="H132" s="10" t="s">
        <v>77</v>
      </c>
      <c r="I132" s="10" t="s">
        <v>78</v>
      </c>
      <c r="J132" s="14" t="s">
        <v>79</v>
      </c>
      <c r="K132" s="15" t="s">
        <v>86</v>
      </c>
      <c r="L132" s="14" t="s">
        <v>87</v>
      </c>
      <c r="M132" s="72" t="s">
        <v>82</v>
      </c>
      <c r="N132" s="70">
        <v>1</v>
      </c>
      <c r="O132" s="70">
        <v>5</v>
      </c>
      <c r="P132" s="70">
        <v>4</v>
      </c>
      <c r="Q132" s="70">
        <v>2</v>
      </c>
      <c r="R132" s="70">
        <v>0</v>
      </c>
      <c r="S132" s="70">
        <v>6</v>
      </c>
      <c r="T132" s="70">
        <v>5</v>
      </c>
      <c r="U132" s="70">
        <v>3</v>
      </c>
      <c r="V132" s="70">
        <v>0</v>
      </c>
      <c r="W132" s="71" t="s">
        <v>83</v>
      </c>
      <c r="X132" s="72">
        <v>0</v>
      </c>
    </row>
    <row r="133" spans="1:24">
      <c r="A133" s="10" t="s">
        <v>380</v>
      </c>
      <c r="B133" s="10" t="s">
        <v>98</v>
      </c>
      <c r="C133" s="13" t="s">
        <v>381</v>
      </c>
      <c r="D133" s="10" t="s">
        <v>19</v>
      </c>
      <c r="E133" s="10" t="s">
        <v>76</v>
      </c>
      <c r="F133" s="13" t="s">
        <v>32</v>
      </c>
      <c r="G133" s="10" t="s">
        <v>7</v>
      </c>
      <c r="H133" s="10" t="s">
        <v>77</v>
      </c>
      <c r="I133" s="10" t="s">
        <v>78</v>
      </c>
      <c r="J133" s="14" t="s">
        <v>79</v>
      </c>
      <c r="K133" s="15" t="s">
        <v>80</v>
      </c>
      <c r="L133" s="14" t="s">
        <v>81</v>
      </c>
      <c r="M133" s="72" t="s">
        <v>82</v>
      </c>
      <c r="N133" s="70">
        <v>1</v>
      </c>
      <c r="O133" s="70">
        <v>5</v>
      </c>
      <c r="P133" s="70">
        <v>3</v>
      </c>
      <c r="Q133" s="70">
        <v>2</v>
      </c>
      <c r="R133" s="70">
        <v>0</v>
      </c>
      <c r="S133" s="70">
        <v>6</v>
      </c>
      <c r="T133" s="70">
        <v>3</v>
      </c>
      <c r="U133" s="70">
        <v>3</v>
      </c>
      <c r="V133" s="70">
        <v>0</v>
      </c>
      <c r="W133" s="71" t="s">
        <v>83</v>
      </c>
      <c r="X133" s="72">
        <v>0</v>
      </c>
    </row>
    <row r="134" spans="1:24">
      <c r="A134" s="10" t="s">
        <v>382</v>
      </c>
      <c r="B134" s="10" t="s">
        <v>383</v>
      </c>
      <c r="C134" s="13" t="s">
        <v>384</v>
      </c>
      <c r="D134" s="10" t="s">
        <v>20</v>
      </c>
      <c r="E134" s="10" t="s">
        <v>76</v>
      </c>
      <c r="F134" s="13" t="s">
        <v>33</v>
      </c>
      <c r="G134" s="10" t="s">
        <v>7</v>
      </c>
      <c r="H134" s="10" t="s">
        <v>77</v>
      </c>
      <c r="I134" s="10" t="s">
        <v>78</v>
      </c>
      <c r="J134" s="14" t="s">
        <v>79</v>
      </c>
      <c r="K134" s="15" t="s">
        <v>80</v>
      </c>
      <c r="L134" s="14" t="s">
        <v>81</v>
      </c>
      <c r="M134" s="72" t="s">
        <v>82</v>
      </c>
      <c r="N134" s="70">
        <v>1</v>
      </c>
      <c r="O134" s="70">
        <v>7</v>
      </c>
      <c r="P134" s="70">
        <v>7</v>
      </c>
      <c r="Q134" s="70">
        <v>4</v>
      </c>
      <c r="R134" s="70">
        <v>0</v>
      </c>
      <c r="S134" s="70">
        <v>8</v>
      </c>
      <c r="T134" s="70">
        <v>7</v>
      </c>
      <c r="U134" s="70">
        <v>5</v>
      </c>
      <c r="V134" s="70">
        <v>0</v>
      </c>
      <c r="W134" s="71" t="s">
        <v>83</v>
      </c>
      <c r="X134" s="72">
        <v>0</v>
      </c>
    </row>
    <row r="135" spans="1:24">
      <c r="A135" s="10" t="s">
        <v>385</v>
      </c>
      <c r="B135" s="10" t="s">
        <v>383</v>
      </c>
      <c r="C135" s="13" t="s">
        <v>386</v>
      </c>
      <c r="D135" s="10" t="s">
        <v>20</v>
      </c>
      <c r="E135" s="10" t="s">
        <v>76</v>
      </c>
      <c r="F135" s="13" t="s">
        <v>33</v>
      </c>
      <c r="G135" s="10" t="s">
        <v>7</v>
      </c>
      <c r="H135" s="10" t="s">
        <v>179</v>
      </c>
      <c r="I135" s="10" t="s">
        <v>78</v>
      </c>
      <c r="J135" s="14" t="s">
        <v>79</v>
      </c>
      <c r="K135" s="15" t="s">
        <v>80</v>
      </c>
      <c r="L135" s="14" t="s">
        <v>81</v>
      </c>
      <c r="M135" s="72" t="s">
        <v>124</v>
      </c>
      <c r="N135" s="70">
        <v>0</v>
      </c>
      <c r="O135" s="70">
        <v>5</v>
      </c>
      <c r="P135" s="70">
        <v>2</v>
      </c>
      <c r="Q135" s="70">
        <v>3</v>
      </c>
      <c r="R135" s="70">
        <v>0</v>
      </c>
      <c r="S135" s="70">
        <v>5</v>
      </c>
      <c r="T135" s="70">
        <v>2</v>
      </c>
      <c r="U135" s="70">
        <v>3</v>
      </c>
      <c r="V135" s="70">
        <v>0</v>
      </c>
      <c r="W135" s="71" t="s">
        <v>83</v>
      </c>
      <c r="X135" s="72">
        <v>0</v>
      </c>
    </row>
    <row r="136" spans="1:24">
      <c r="A136" s="10" t="s">
        <v>387</v>
      </c>
      <c r="B136" s="10" t="s">
        <v>383</v>
      </c>
      <c r="C136" s="13" t="s">
        <v>388</v>
      </c>
      <c r="D136" s="10" t="s">
        <v>20</v>
      </c>
      <c r="E136" s="10" t="s">
        <v>76</v>
      </c>
      <c r="F136" s="13" t="s">
        <v>33</v>
      </c>
      <c r="G136" s="10" t="s">
        <v>7</v>
      </c>
      <c r="H136" s="10" t="s">
        <v>77</v>
      </c>
      <c r="I136" s="10" t="s">
        <v>78</v>
      </c>
      <c r="J136" s="14" t="s">
        <v>79</v>
      </c>
      <c r="K136" s="15" t="s">
        <v>86</v>
      </c>
      <c r="L136" s="14" t="s">
        <v>87</v>
      </c>
      <c r="M136" s="72" t="s">
        <v>82</v>
      </c>
      <c r="N136" s="70">
        <v>1</v>
      </c>
      <c r="O136" s="70">
        <v>4</v>
      </c>
      <c r="P136" s="70">
        <v>1</v>
      </c>
      <c r="Q136" s="70">
        <v>1</v>
      </c>
      <c r="R136" s="70">
        <v>1</v>
      </c>
      <c r="S136" s="70">
        <v>5</v>
      </c>
      <c r="T136" s="70">
        <v>1</v>
      </c>
      <c r="U136" s="70">
        <v>2</v>
      </c>
      <c r="V136" s="70">
        <v>1</v>
      </c>
      <c r="W136" s="71" t="s">
        <v>83</v>
      </c>
      <c r="X136" s="72">
        <v>0</v>
      </c>
    </row>
    <row r="137" spans="1:24">
      <c r="A137" s="10" t="s">
        <v>389</v>
      </c>
      <c r="B137" s="10" t="s">
        <v>108</v>
      </c>
      <c r="C137" s="13" t="s">
        <v>390</v>
      </c>
      <c r="D137" s="10" t="s">
        <v>20</v>
      </c>
      <c r="E137" s="10" t="s">
        <v>76</v>
      </c>
      <c r="F137" s="13" t="s">
        <v>38</v>
      </c>
      <c r="G137" s="10" t="s">
        <v>7</v>
      </c>
      <c r="H137" s="10" t="s">
        <v>77</v>
      </c>
      <c r="I137" s="10" t="s">
        <v>78</v>
      </c>
      <c r="J137" s="14" t="s">
        <v>79</v>
      </c>
      <c r="K137" s="15" t="s">
        <v>86</v>
      </c>
      <c r="L137" s="14" t="s">
        <v>87</v>
      </c>
      <c r="M137" s="72" t="s">
        <v>82</v>
      </c>
      <c r="N137" s="70">
        <v>1</v>
      </c>
      <c r="O137" s="70">
        <v>15</v>
      </c>
      <c r="P137" s="70">
        <v>9</v>
      </c>
      <c r="Q137" s="70">
        <v>2</v>
      </c>
      <c r="R137" s="70">
        <v>4</v>
      </c>
      <c r="S137" s="70">
        <v>16</v>
      </c>
      <c r="T137" s="70">
        <v>9</v>
      </c>
      <c r="U137" s="70">
        <v>3</v>
      </c>
      <c r="V137" s="70">
        <v>4</v>
      </c>
      <c r="W137" s="71" t="s">
        <v>83</v>
      </c>
      <c r="X137" s="72">
        <v>0</v>
      </c>
    </row>
    <row r="138" spans="1:24">
      <c r="A138" s="10" t="s">
        <v>391</v>
      </c>
      <c r="B138" s="10" t="s">
        <v>174</v>
      </c>
      <c r="C138" s="13" t="s">
        <v>392</v>
      </c>
      <c r="D138" s="10" t="s">
        <v>20</v>
      </c>
      <c r="E138" s="10" t="s">
        <v>76</v>
      </c>
      <c r="F138" s="13" t="s">
        <v>33</v>
      </c>
      <c r="G138" s="10" t="s">
        <v>8</v>
      </c>
      <c r="H138" s="10" t="s">
        <v>77</v>
      </c>
      <c r="I138" s="10" t="s">
        <v>78</v>
      </c>
      <c r="J138" s="14" t="s">
        <v>79</v>
      </c>
      <c r="K138" s="15" t="s">
        <v>80</v>
      </c>
      <c r="L138" s="14" t="s">
        <v>81</v>
      </c>
      <c r="M138" s="72" t="s">
        <v>82</v>
      </c>
      <c r="N138" s="70">
        <v>1</v>
      </c>
      <c r="O138" s="70">
        <v>5</v>
      </c>
      <c r="P138" s="70">
        <v>3</v>
      </c>
      <c r="Q138" s="70">
        <v>0</v>
      </c>
      <c r="R138" s="70">
        <v>0</v>
      </c>
      <c r="S138" s="70">
        <v>6</v>
      </c>
      <c r="T138" s="70">
        <v>4</v>
      </c>
      <c r="U138" s="70">
        <v>1</v>
      </c>
      <c r="V138" s="70">
        <v>0</v>
      </c>
      <c r="W138" s="71" t="s">
        <v>83</v>
      </c>
      <c r="X138" s="72">
        <v>0</v>
      </c>
    </row>
    <row r="139" spans="1:24">
      <c r="A139" s="10" t="s">
        <v>393</v>
      </c>
      <c r="B139" s="10" t="s">
        <v>174</v>
      </c>
      <c r="C139" s="13" t="s">
        <v>394</v>
      </c>
      <c r="D139" s="10" t="s">
        <v>20</v>
      </c>
      <c r="E139" s="10" t="s">
        <v>76</v>
      </c>
      <c r="F139" s="13" t="s">
        <v>39</v>
      </c>
      <c r="G139" s="10" t="s">
        <v>7</v>
      </c>
      <c r="H139" s="10" t="s">
        <v>77</v>
      </c>
      <c r="I139" s="10" t="s">
        <v>78</v>
      </c>
      <c r="J139" s="14" t="s">
        <v>79</v>
      </c>
      <c r="K139" s="15" t="s">
        <v>86</v>
      </c>
      <c r="L139" s="14" t="s">
        <v>87</v>
      </c>
      <c r="M139" s="72" t="s">
        <v>82</v>
      </c>
      <c r="N139" s="70">
        <v>1</v>
      </c>
      <c r="O139" s="70">
        <v>6</v>
      </c>
      <c r="P139" s="70">
        <v>2</v>
      </c>
      <c r="Q139" s="70">
        <v>2</v>
      </c>
      <c r="R139" s="70">
        <v>0</v>
      </c>
      <c r="S139" s="70">
        <v>7</v>
      </c>
      <c r="T139" s="70">
        <v>2</v>
      </c>
      <c r="U139" s="70">
        <v>3</v>
      </c>
      <c r="V139" s="70">
        <v>0</v>
      </c>
      <c r="W139" s="71" t="s">
        <v>83</v>
      </c>
      <c r="X139" s="72">
        <v>0</v>
      </c>
    </row>
    <row r="140" spans="1:24">
      <c r="A140" s="10" t="s">
        <v>395</v>
      </c>
      <c r="B140" s="10" t="s">
        <v>174</v>
      </c>
      <c r="C140" s="13" t="s">
        <v>396</v>
      </c>
      <c r="D140" s="10" t="s">
        <v>20</v>
      </c>
      <c r="E140" s="10" t="s">
        <v>76</v>
      </c>
      <c r="F140" s="13" t="s">
        <v>42</v>
      </c>
      <c r="G140" s="10" t="s">
        <v>7</v>
      </c>
      <c r="H140" s="10" t="s">
        <v>77</v>
      </c>
      <c r="I140" s="10" t="s">
        <v>78</v>
      </c>
      <c r="J140" s="14" t="s">
        <v>79</v>
      </c>
      <c r="K140" s="15" t="s">
        <v>80</v>
      </c>
      <c r="L140" s="14" t="s">
        <v>81</v>
      </c>
      <c r="M140" s="72" t="s">
        <v>82</v>
      </c>
      <c r="N140" s="70">
        <v>1</v>
      </c>
      <c r="O140" s="70">
        <v>6</v>
      </c>
      <c r="P140" s="70">
        <v>2</v>
      </c>
      <c r="Q140" s="70">
        <v>2</v>
      </c>
      <c r="R140" s="70">
        <v>0</v>
      </c>
      <c r="S140" s="70">
        <v>7</v>
      </c>
      <c r="T140" s="70">
        <v>2</v>
      </c>
      <c r="U140" s="70">
        <v>3</v>
      </c>
      <c r="V140" s="70">
        <v>0</v>
      </c>
      <c r="W140" s="71" t="s">
        <v>83</v>
      </c>
      <c r="X140" s="72">
        <v>0</v>
      </c>
    </row>
    <row r="141" spans="1:24">
      <c r="A141" s="10" t="s">
        <v>397</v>
      </c>
      <c r="B141" s="10" t="s">
        <v>174</v>
      </c>
      <c r="C141" s="13" t="s">
        <v>398</v>
      </c>
      <c r="D141" s="10" t="s">
        <v>20</v>
      </c>
      <c r="E141" s="10" t="s">
        <v>76</v>
      </c>
      <c r="F141" s="13" t="s">
        <v>40</v>
      </c>
      <c r="G141" s="10" t="s">
        <v>7</v>
      </c>
      <c r="H141" s="10" t="s">
        <v>179</v>
      </c>
      <c r="I141" s="10" t="s">
        <v>78</v>
      </c>
      <c r="J141" s="14" t="s">
        <v>79</v>
      </c>
      <c r="K141" s="15" t="s">
        <v>80</v>
      </c>
      <c r="L141" s="14" t="s">
        <v>81</v>
      </c>
      <c r="M141" s="72" t="s">
        <v>124</v>
      </c>
      <c r="N141" s="70">
        <v>0</v>
      </c>
      <c r="O141" s="70">
        <v>5</v>
      </c>
      <c r="P141" s="70">
        <v>3</v>
      </c>
      <c r="Q141" s="70">
        <v>5</v>
      </c>
      <c r="R141" s="70">
        <v>0</v>
      </c>
      <c r="S141" s="70">
        <v>5</v>
      </c>
      <c r="T141" s="70">
        <v>3</v>
      </c>
      <c r="U141" s="70">
        <v>5</v>
      </c>
      <c r="V141" s="70">
        <v>0</v>
      </c>
      <c r="W141" s="71" t="s">
        <v>83</v>
      </c>
      <c r="X141" s="72">
        <v>0</v>
      </c>
    </row>
    <row r="142" spans="1:24">
      <c r="A142" s="10" t="s">
        <v>399</v>
      </c>
      <c r="B142" s="10" t="s">
        <v>174</v>
      </c>
      <c r="C142" s="13" t="s">
        <v>400</v>
      </c>
      <c r="D142" s="10" t="s">
        <v>20</v>
      </c>
      <c r="E142" s="10" t="s">
        <v>76</v>
      </c>
      <c r="F142" s="13" t="s">
        <v>37</v>
      </c>
      <c r="G142" s="10" t="s">
        <v>8</v>
      </c>
      <c r="H142" s="10" t="s">
        <v>77</v>
      </c>
      <c r="I142" s="10" t="s">
        <v>78</v>
      </c>
      <c r="J142" s="14" t="s">
        <v>79</v>
      </c>
      <c r="K142" s="15" t="s">
        <v>80</v>
      </c>
      <c r="L142" s="14" t="s">
        <v>81</v>
      </c>
      <c r="M142" s="72" t="s">
        <v>82</v>
      </c>
      <c r="N142" s="70">
        <v>1</v>
      </c>
      <c r="O142" s="70">
        <v>1</v>
      </c>
      <c r="P142" s="70">
        <v>1</v>
      </c>
      <c r="Q142" s="70">
        <v>0</v>
      </c>
      <c r="R142" s="70">
        <v>0</v>
      </c>
      <c r="S142" s="70">
        <v>2</v>
      </c>
      <c r="T142" s="70">
        <v>2</v>
      </c>
      <c r="U142" s="70">
        <v>1</v>
      </c>
      <c r="V142" s="70">
        <v>0</v>
      </c>
      <c r="W142" s="71" t="s">
        <v>83</v>
      </c>
      <c r="X142" s="72">
        <v>0</v>
      </c>
    </row>
    <row r="143" spans="1:24">
      <c r="A143" s="10" t="s">
        <v>401</v>
      </c>
      <c r="B143" s="10" t="s">
        <v>174</v>
      </c>
      <c r="C143" s="13" t="s">
        <v>402</v>
      </c>
      <c r="D143" s="10" t="s">
        <v>20</v>
      </c>
      <c r="E143" s="10" t="s">
        <v>76</v>
      </c>
      <c r="F143" s="13" t="s">
        <v>39</v>
      </c>
      <c r="G143" s="10" t="s">
        <v>7</v>
      </c>
      <c r="H143" s="10" t="s">
        <v>77</v>
      </c>
      <c r="I143" s="10" t="s">
        <v>78</v>
      </c>
      <c r="J143" s="14" t="s">
        <v>79</v>
      </c>
      <c r="K143" s="15" t="s">
        <v>80</v>
      </c>
      <c r="L143" s="14" t="s">
        <v>81</v>
      </c>
      <c r="M143" s="72" t="s">
        <v>124</v>
      </c>
      <c r="N143" s="70">
        <v>0</v>
      </c>
      <c r="O143" s="70">
        <v>1</v>
      </c>
      <c r="P143" s="70">
        <v>0</v>
      </c>
      <c r="Q143" s="70">
        <v>0</v>
      </c>
      <c r="R143" s="70">
        <v>0</v>
      </c>
      <c r="S143" s="70">
        <v>1</v>
      </c>
      <c r="T143" s="70">
        <v>0</v>
      </c>
      <c r="U143" s="70">
        <v>1</v>
      </c>
      <c r="V143" s="70">
        <v>0</v>
      </c>
      <c r="W143" s="71" t="s">
        <v>83</v>
      </c>
      <c r="X143" s="72">
        <v>0</v>
      </c>
    </row>
    <row r="144" spans="1:24">
      <c r="A144" s="10" t="s">
        <v>403</v>
      </c>
      <c r="B144" s="10" t="s">
        <v>174</v>
      </c>
      <c r="C144" s="13" t="s">
        <v>404</v>
      </c>
      <c r="D144" s="10" t="s">
        <v>20</v>
      </c>
      <c r="E144" s="10" t="s">
        <v>76</v>
      </c>
      <c r="F144" s="13" t="s">
        <v>39</v>
      </c>
      <c r="G144" s="10" t="s">
        <v>7</v>
      </c>
      <c r="H144" s="10" t="s">
        <v>77</v>
      </c>
      <c r="I144" s="10" t="s">
        <v>78</v>
      </c>
      <c r="J144" s="14" t="s">
        <v>79</v>
      </c>
      <c r="K144" s="15" t="s">
        <v>86</v>
      </c>
      <c r="L144" s="14" t="s">
        <v>87</v>
      </c>
      <c r="M144" s="72" t="s">
        <v>82</v>
      </c>
      <c r="N144" s="70">
        <v>1</v>
      </c>
      <c r="O144" s="70">
        <v>6</v>
      </c>
      <c r="P144" s="70">
        <v>0</v>
      </c>
      <c r="Q144" s="70">
        <v>4</v>
      </c>
      <c r="R144" s="70">
        <v>0</v>
      </c>
      <c r="S144" s="70">
        <v>7</v>
      </c>
      <c r="T144" s="70">
        <v>0</v>
      </c>
      <c r="U144" s="70">
        <v>5</v>
      </c>
      <c r="V144" s="70">
        <v>0</v>
      </c>
      <c r="W144" s="71" t="s">
        <v>83</v>
      </c>
      <c r="X144" s="72">
        <v>0</v>
      </c>
    </row>
    <row r="145" spans="1:24">
      <c r="A145" s="10" t="s">
        <v>405</v>
      </c>
      <c r="B145" s="10" t="s">
        <v>174</v>
      </c>
      <c r="C145" s="13" t="s">
        <v>406</v>
      </c>
      <c r="D145" s="10" t="s">
        <v>20</v>
      </c>
      <c r="E145" s="10" t="s">
        <v>76</v>
      </c>
      <c r="F145" s="13" t="s">
        <v>36</v>
      </c>
      <c r="G145" s="10" t="s">
        <v>7</v>
      </c>
      <c r="H145" s="10" t="s">
        <v>77</v>
      </c>
      <c r="I145" s="10" t="s">
        <v>78</v>
      </c>
      <c r="J145" s="14" t="s">
        <v>79</v>
      </c>
      <c r="K145" s="15" t="s">
        <v>86</v>
      </c>
      <c r="L145" s="14" t="s">
        <v>87</v>
      </c>
      <c r="M145" s="72" t="s">
        <v>82</v>
      </c>
      <c r="N145" s="70">
        <v>1</v>
      </c>
      <c r="O145" s="70">
        <v>0</v>
      </c>
      <c r="P145" s="70">
        <v>0</v>
      </c>
      <c r="Q145" s="70">
        <v>0</v>
      </c>
      <c r="R145" s="70">
        <v>0</v>
      </c>
      <c r="S145" s="70">
        <v>1</v>
      </c>
      <c r="T145" s="70">
        <v>0</v>
      </c>
      <c r="U145" s="70">
        <v>1</v>
      </c>
      <c r="V145" s="70">
        <v>0</v>
      </c>
      <c r="W145" s="71" t="s">
        <v>83</v>
      </c>
      <c r="X145" s="72">
        <v>0</v>
      </c>
    </row>
    <row r="146" spans="1:24">
      <c r="A146" s="10" t="s">
        <v>407</v>
      </c>
      <c r="B146" s="10" t="s">
        <v>174</v>
      </c>
      <c r="C146" s="13" t="s">
        <v>408</v>
      </c>
      <c r="D146" s="10" t="s">
        <v>20</v>
      </c>
      <c r="E146" s="10" t="s">
        <v>76</v>
      </c>
      <c r="F146" s="13" t="s">
        <v>37</v>
      </c>
      <c r="G146" s="10" t="s">
        <v>7</v>
      </c>
      <c r="H146" s="10" t="s">
        <v>179</v>
      </c>
      <c r="I146" s="10" t="s">
        <v>78</v>
      </c>
      <c r="J146" s="14" t="s">
        <v>79</v>
      </c>
      <c r="K146" s="15" t="s">
        <v>80</v>
      </c>
      <c r="L146" s="14" t="s">
        <v>81</v>
      </c>
      <c r="M146" s="72" t="s">
        <v>82</v>
      </c>
      <c r="N146" s="70">
        <v>1</v>
      </c>
      <c r="O146" s="70">
        <v>3</v>
      </c>
      <c r="P146" s="70">
        <v>0</v>
      </c>
      <c r="Q146" s="70">
        <v>2</v>
      </c>
      <c r="R146" s="70">
        <v>0</v>
      </c>
      <c r="S146" s="70">
        <v>4</v>
      </c>
      <c r="T146" s="70">
        <v>0</v>
      </c>
      <c r="U146" s="70">
        <v>2</v>
      </c>
      <c r="V146" s="70">
        <v>0</v>
      </c>
      <c r="W146" s="71" t="s">
        <v>83</v>
      </c>
      <c r="X146" s="72">
        <v>0</v>
      </c>
    </row>
    <row r="147" spans="1:24">
      <c r="A147" s="10" t="s">
        <v>409</v>
      </c>
      <c r="B147" s="10" t="s">
        <v>174</v>
      </c>
      <c r="C147" s="13" t="s">
        <v>410</v>
      </c>
      <c r="D147" s="10" t="s">
        <v>20</v>
      </c>
      <c r="E147" s="10" t="s">
        <v>76</v>
      </c>
      <c r="F147" s="13" t="s">
        <v>40</v>
      </c>
      <c r="G147" s="10" t="s">
        <v>8</v>
      </c>
      <c r="H147" s="10" t="s">
        <v>77</v>
      </c>
      <c r="I147" s="10" t="s">
        <v>78</v>
      </c>
      <c r="J147" s="14" t="s">
        <v>79</v>
      </c>
      <c r="K147" s="15" t="s">
        <v>80</v>
      </c>
      <c r="L147" s="14" t="s">
        <v>81</v>
      </c>
      <c r="M147" s="72" t="s">
        <v>82</v>
      </c>
      <c r="N147" s="70">
        <v>1</v>
      </c>
      <c r="O147" s="70">
        <v>10</v>
      </c>
      <c r="P147" s="70">
        <v>9</v>
      </c>
      <c r="Q147" s="70">
        <v>3</v>
      </c>
      <c r="R147" s="70">
        <v>0</v>
      </c>
      <c r="S147" s="70">
        <v>11</v>
      </c>
      <c r="T147" s="70">
        <v>10</v>
      </c>
      <c r="U147" s="70">
        <v>4</v>
      </c>
      <c r="V147" s="70">
        <v>0</v>
      </c>
      <c r="W147" s="71" t="s">
        <v>83</v>
      </c>
      <c r="X147" s="72">
        <v>0</v>
      </c>
    </row>
    <row r="148" spans="1:24">
      <c r="A148" s="10" t="s">
        <v>411</v>
      </c>
      <c r="B148" s="10" t="s">
        <v>174</v>
      </c>
      <c r="C148" s="13" t="s">
        <v>412</v>
      </c>
      <c r="D148" s="10" t="s">
        <v>20</v>
      </c>
      <c r="E148" s="10" t="s">
        <v>76</v>
      </c>
      <c r="F148" s="13" t="s">
        <v>40</v>
      </c>
      <c r="G148" s="10" t="s">
        <v>8</v>
      </c>
      <c r="H148" s="10" t="s">
        <v>77</v>
      </c>
      <c r="I148" s="10" t="s">
        <v>78</v>
      </c>
      <c r="J148" s="14" t="s">
        <v>79</v>
      </c>
      <c r="K148" s="15" t="s">
        <v>86</v>
      </c>
      <c r="L148" s="14" t="s">
        <v>87</v>
      </c>
      <c r="M148" s="72" t="s">
        <v>82</v>
      </c>
      <c r="N148" s="70">
        <v>1</v>
      </c>
      <c r="O148" s="70">
        <v>5</v>
      </c>
      <c r="P148" s="70">
        <v>4</v>
      </c>
      <c r="Q148" s="70">
        <v>2</v>
      </c>
      <c r="R148" s="70">
        <v>0</v>
      </c>
      <c r="S148" s="70">
        <v>6</v>
      </c>
      <c r="T148" s="70">
        <v>5</v>
      </c>
      <c r="U148" s="70">
        <v>3</v>
      </c>
      <c r="V148" s="70">
        <v>0</v>
      </c>
      <c r="W148" s="71" t="s">
        <v>83</v>
      </c>
      <c r="X148" s="72">
        <v>0</v>
      </c>
    </row>
    <row r="149" spans="1:24">
      <c r="A149" s="10" t="s">
        <v>413</v>
      </c>
      <c r="B149" s="10" t="s">
        <v>174</v>
      </c>
      <c r="C149" s="13" t="s">
        <v>414</v>
      </c>
      <c r="D149" s="10" t="s">
        <v>20</v>
      </c>
      <c r="E149" s="10" t="s">
        <v>76</v>
      </c>
      <c r="F149" s="13" t="s">
        <v>33</v>
      </c>
      <c r="G149" s="10" t="s">
        <v>7</v>
      </c>
      <c r="H149" s="10" t="s">
        <v>77</v>
      </c>
      <c r="I149" s="10" t="s">
        <v>78</v>
      </c>
      <c r="J149" s="14" t="s">
        <v>79</v>
      </c>
      <c r="K149" s="15" t="s">
        <v>80</v>
      </c>
      <c r="L149" s="14" t="s">
        <v>81</v>
      </c>
      <c r="M149" s="72" t="s">
        <v>82</v>
      </c>
      <c r="N149" s="70">
        <v>1</v>
      </c>
      <c r="O149" s="70">
        <v>9</v>
      </c>
      <c r="P149" s="70">
        <v>5</v>
      </c>
      <c r="Q149" s="70">
        <v>3</v>
      </c>
      <c r="R149" s="70">
        <v>0</v>
      </c>
      <c r="S149" s="70">
        <v>10</v>
      </c>
      <c r="T149" s="70">
        <v>5</v>
      </c>
      <c r="U149" s="70">
        <v>4</v>
      </c>
      <c r="V149" s="70">
        <v>0</v>
      </c>
      <c r="W149" s="71" t="s">
        <v>83</v>
      </c>
      <c r="X149" s="72">
        <v>0</v>
      </c>
    </row>
    <row r="150" spans="1:24">
      <c r="A150" s="10" t="s">
        <v>415</v>
      </c>
      <c r="B150" s="10" t="s">
        <v>192</v>
      </c>
      <c r="C150" s="13" t="s">
        <v>416</v>
      </c>
      <c r="D150" s="10" t="s">
        <v>20</v>
      </c>
      <c r="E150" s="10" t="s">
        <v>76</v>
      </c>
      <c r="F150" s="13" t="s">
        <v>33</v>
      </c>
      <c r="G150" s="10" t="s">
        <v>7</v>
      </c>
      <c r="H150" s="10" t="s">
        <v>77</v>
      </c>
      <c r="I150" s="10" t="s">
        <v>78</v>
      </c>
      <c r="J150" s="14" t="s">
        <v>79</v>
      </c>
      <c r="K150" s="15" t="s">
        <v>80</v>
      </c>
      <c r="L150" s="14" t="s">
        <v>81</v>
      </c>
      <c r="M150" s="72" t="s">
        <v>82</v>
      </c>
      <c r="N150" s="70">
        <v>1</v>
      </c>
      <c r="O150" s="70">
        <v>2</v>
      </c>
      <c r="P150" s="70">
        <v>0</v>
      </c>
      <c r="Q150" s="70">
        <v>2</v>
      </c>
      <c r="R150" s="70">
        <v>0</v>
      </c>
      <c r="S150" s="70">
        <v>3</v>
      </c>
      <c r="T150" s="70">
        <v>0</v>
      </c>
      <c r="U150" s="70">
        <v>3</v>
      </c>
      <c r="V150" s="70">
        <v>0</v>
      </c>
      <c r="W150" s="71" t="s">
        <v>83</v>
      </c>
      <c r="X150" s="72">
        <v>0</v>
      </c>
    </row>
    <row r="151" spans="1:24">
      <c r="A151" s="10" t="s">
        <v>417</v>
      </c>
      <c r="B151" s="10" t="s">
        <v>192</v>
      </c>
      <c r="C151" s="13" t="s">
        <v>418</v>
      </c>
      <c r="D151" s="10" t="s">
        <v>20</v>
      </c>
      <c r="E151" s="10" t="s">
        <v>76</v>
      </c>
      <c r="F151" s="13" t="s">
        <v>40</v>
      </c>
      <c r="G151" s="10" t="s">
        <v>7</v>
      </c>
      <c r="H151" s="10" t="s">
        <v>77</v>
      </c>
      <c r="I151" s="10" t="s">
        <v>78</v>
      </c>
      <c r="J151" s="14" t="s">
        <v>79</v>
      </c>
      <c r="K151" s="15" t="s">
        <v>86</v>
      </c>
      <c r="L151" s="14" t="s">
        <v>87</v>
      </c>
      <c r="M151" s="72" t="s">
        <v>82</v>
      </c>
      <c r="N151" s="70">
        <v>1</v>
      </c>
      <c r="O151" s="70">
        <v>5</v>
      </c>
      <c r="P151" s="70">
        <v>4</v>
      </c>
      <c r="Q151" s="70">
        <v>0</v>
      </c>
      <c r="R151" s="70">
        <v>0</v>
      </c>
      <c r="S151" s="70">
        <v>6</v>
      </c>
      <c r="T151" s="70">
        <v>4</v>
      </c>
      <c r="U151" s="70">
        <v>1</v>
      </c>
      <c r="V151" s="70">
        <v>0</v>
      </c>
      <c r="W151" s="71" t="s">
        <v>83</v>
      </c>
      <c r="X151" s="72">
        <v>0</v>
      </c>
    </row>
    <row r="152" spans="1:24">
      <c r="A152" s="10" t="s">
        <v>419</v>
      </c>
      <c r="B152" s="10" t="s">
        <v>192</v>
      </c>
      <c r="C152" s="13" t="s">
        <v>420</v>
      </c>
      <c r="D152" s="10" t="s">
        <v>20</v>
      </c>
      <c r="E152" s="10" t="s">
        <v>76</v>
      </c>
      <c r="F152" s="13" t="s">
        <v>43</v>
      </c>
      <c r="G152" s="10" t="s">
        <v>7</v>
      </c>
      <c r="H152" s="10" t="s">
        <v>77</v>
      </c>
      <c r="I152" s="10" t="s">
        <v>78</v>
      </c>
      <c r="J152" s="14" t="s">
        <v>79</v>
      </c>
      <c r="K152" s="15" t="s">
        <v>86</v>
      </c>
      <c r="L152" s="14" t="s">
        <v>87</v>
      </c>
      <c r="M152" s="72" t="s">
        <v>124</v>
      </c>
      <c r="N152" s="70">
        <v>0</v>
      </c>
      <c r="O152" s="70">
        <v>0</v>
      </c>
      <c r="P152" s="70">
        <v>0</v>
      </c>
      <c r="Q152" s="70">
        <v>0</v>
      </c>
      <c r="R152" s="70">
        <v>0</v>
      </c>
      <c r="S152" s="70">
        <v>0</v>
      </c>
      <c r="T152" s="70">
        <v>0</v>
      </c>
      <c r="U152" s="70">
        <v>1</v>
      </c>
      <c r="V152" s="70">
        <v>0</v>
      </c>
      <c r="W152" s="71" t="s">
        <v>83</v>
      </c>
      <c r="X152" s="73" t="s">
        <v>138</v>
      </c>
    </row>
    <row r="153" spans="1:24">
      <c r="A153" s="10" t="s">
        <v>421</v>
      </c>
      <c r="B153" s="10" t="s">
        <v>192</v>
      </c>
      <c r="C153" s="13" t="s">
        <v>422</v>
      </c>
      <c r="D153" s="10" t="s">
        <v>20</v>
      </c>
      <c r="E153" s="10" t="s">
        <v>76</v>
      </c>
      <c r="F153" s="13" t="s">
        <v>40</v>
      </c>
      <c r="G153" s="10" t="s">
        <v>7</v>
      </c>
      <c r="H153" s="10" t="s">
        <v>77</v>
      </c>
      <c r="I153" s="10" t="s">
        <v>78</v>
      </c>
      <c r="J153" s="14" t="s">
        <v>79</v>
      </c>
      <c r="K153" s="15" t="s">
        <v>86</v>
      </c>
      <c r="L153" s="14" t="s">
        <v>87</v>
      </c>
      <c r="M153" s="72" t="s">
        <v>124</v>
      </c>
      <c r="N153" s="70">
        <v>0</v>
      </c>
      <c r="O153" s="70">
        <v>1</v>
      </c>
      <c r="P153" s="70">
        <v>0</v>
      </c>
      <c r="Q153" s="70">
        <v>0</v>
      </c>
      <c r="R153" s="70">
        <v>0</v>
      </c>
      <c r="S153" s="70">
        <v>1</v>
      </c>
      <c r="T153" s="70">
        <v>0</v>
      </c>
      <c r="U153" s="70">
        <v>1</v>
      </c>
      <c r="V153" s="70">
        <v>0</v>
      </c>
      <c r="W153" s="71" t="s">
        <v>83</v>
      </c>
      <c r="X153" s="72">
        <v>0</v>
      </c>
    </row>
    <row r="154" spans="1:24">
      <c r="A154" s="10" t="s">
        <v>423</v>
      </c>
      <c r="B154" s="10" t="s">
        <v>192</v>
      </c>
      <c r="C154" s="13" t="s">
        <v>424</v>
      </c>
      <c r="D154" s="10" t="s">
        <v>20</v>
      </c>
      <c r="E154" s="10" t="s">
        <v>76</v>
      </c>
      <c r="F154" s="13" t="s">
        <v>34</v>
      </c>
      <c r="G154" s="10" t="s">
        <v>7</v>
      </c>
      <c r="H154" s="10" t="s">
        <v>179</v>
      </c>
      <c r="I154" s="10" t="s">
        <v>78</v>
      </c>
      <c r="J154" s="14" t="s">
        <v>79</v>
      </c>
      <c r="K154" s="15" t="s">
        <v>86</v>
      </c>
      <c r="L154" s="14" t="s">
        <v>87</v>
      </c>
      <c r="M154" s="72" t="s">
        <v>124</v>
      </c>
      <c r="N154" s="70">
        <v>0</v>
      </c>
      <c r="O154" s="70">
        <v>1</v>
      </c>
      <c r="P154" s="70">
        <v>0</v>
      </c>
      <c r="Q154" s="70">
        <v>1</v>
      </c>
      <c r="R154" s="70">
        <v>0</v>
      </c>
      <c r="S154" s="70">
        <v>1</v>
      </c>
      <c r="T154" s="70">
        <v>0</v>
      </c>
      <c r="U154" s="70">
        <v>1</v>
      </c>
      <c r="V154" s="70">
        <v>0</v>
      </c>
      <c r="W154" s="71" t="s">
        <v>83</v>
      </c>
      <c r="X154" s="72">
        <v>0</v>
      </c>
    </row>
    <row r="155" spans="1:24">
      <c r="A155" s="10" t="s">
        <v>425</v>
      </c>
      <c r="B155" s="10" t="s">
        <v>192</v>
      </c>
      <c r="C155" s="13" t="s">
        <v>426</v>
      </c>
      <c r="D155" s="10" t="s">
        <v>20</v>
      </c>
      <c r="E155" s="10" t="s">
        <v>76</v>
      </c>
      <c r="F155" s="13" t="s">
        <v>32</v>
      </c>
      <c r="G155" s="10" t="s">
        <v>7</v>
      </c>
      <c r="H155" s="10" t="s">
        <v>77</v>
      </c>
      <c r="I155" s="10" t="s">
        <v>78</v>
      </c>
      <c r="J155" s="14" t="s">
        <v>79</v>
      </c>
      <c r="K155" s="15" t="s">
        <v>86</v>
      </c>
      <c r="L155" s="14" t="s">
        <v>87</v>
      </c>
      <c r="M155" s="72" t="s">
        <v>82</v>
      </c>
      <c r="N155" s="70">
        <v>1</v>
      </c>
      <c r="O155" s="70">
        <v>1</v>
      </c>
      <c r="P155" s="70">
        <v>0</v>
      </c>
      <c r="Q155" s="70">
        <v>0</v>
      </c>
      <c r="R155" s="70">
        <v>0</v>
      </c>
      <c r="S155" s="70">
        <v>2</v>
      </c>
      <c r="T155" s="70">
        <v>0</v>
      </c>
      <c r="U155" s="70">
        <v>1</v>
      </c>
      <c r="V155" s="70">
        <v>0</v>
      </c>
      <c r="W155" s="71" t="s">
        <v>83</v>
      </c>
      <c r="X155" s="72">
        <v>0</v>
      </c>
    </row>
    <row r="156" spans="1:24">
      <c r="A156" s="10" t="s">
        <v>427</v>
      </c>
      <c r="B156" s="10" t="s">
        <v>192</v>
      </c>
      <c r="C156" s="13" t="s">
        <v>428</v>
      </c>
      <c r="D156" s="10" t="s">
        <v>20</v>
      </c>
      <c r="E156" s="10" t="s">
        <v>76</v>
      </c>
      <c r="F156" s="13" t="s">
        <v>30</v>
      </c>
      <c r="G156" s="10" t="s">
        <v>7</v>
      </c>
      <c r="H156" s="10" t="s">
        <v>77</v>
      </c>
      <c r="I156" s="10" t="s">
        <v>78</v>
      </c>
      <c r="J156" s="14" t="s">
        <v>79</v>
      </c>
      <c r="K156" s="15" t="s">
        <v>86</v>
      </c>
      <c r="L156" s="14" t="s">
        <v>87</v>
      </c>
      <c r="M156" s="72" t="s">
        <v>124</v>
      </c>
      <c r="N156" s="70">
        <v>0</v>
      </c>
      <c r="O156" s="70">
        <v>2</v>
      </c>
      <c r="P156" s="70">
        <v>0</v>
      </c>
      <c r="Q156" s="70">
        <v>1</v>
      </c>
      <c r="R156" s="70">
        <v>0</v>
      </c>
      <c r="S156" s="70">
        <v>2</v>
      </c>
      <c r="T156" s="70">
        <v>0</v>
      </c>
      <c r="U156" s="70">
        <v>2</v>
      </c>
      <c r="V156" s="70">
        <v>0</v>
      </c>
      <c r="W156" s="71" t="s">
        <v>83</v>
      </c>
      <c r="X156" s="72">
        <v>0</v>
      </c>
    </row>
    <row r="157" spans="1:24">
      <c r="A157" s="10" t="s">
        <v>429</v>
      </c>
      <c r="B157" s="10" t="s">
        <v>192</v>
      </c>
      <c r="C157" s="13" t="s">
        <v>430</v>
      </c>
      <c r="D157" s="10" t="s">
        <v>20</v>
      </c>
      <c r="E157" s="10" t="s">
        <v>76</v>
      </c>
      <c r="F157" s="13" t="s">
        <v>32</v>
      </c>
      <c r="G157" s="10" t="s">
        <v>8</v>
      </c>
      <c r="H157" s="10" t="s">
        <v>179</v>
      </c>
      <c r="I157" s="10" t="s">
        <v>78</v>
      </c>
      <c r="J157" s="14" t="s">
        <v>79</v>
      </c>
      <c r="K157" s="15" t="s">
        <v>86</v>
      </c>
      <c r="L157" s="14" t="s">
        <v>87</v>
      </c>
      <c r="M157" s="72" t="s">
        <v>124</v>
      </c>
      <c r="N157" s="70">
        <v>0</v>
      </c>
      <c r="O157" s="70">
        <v>0</v>
      </c>
      <c r="P157" s="70">
        <v>0</v>
      </c>
      <c r="Q157" s="70">
        <v>0</v>
      </c>
      <c r="R157" s="70">
        <v>0</v>
      </c>
      <c r="S157" s="70">
        <v>0</v>
      </c>
      <c r="T157" s="70">
        <v>1</v>
      </c>
      <c r="U157" s="70">
        <v>0</v>
      </c>
      <c r="V157" s="70">
        <v>0</v>
      </c>
      <c r="W157" s="71" t="s">
        <v>83</v>
      </c>
      <c r="X157" s="73" t="s">
        <v>209</v>
      </c>
    </row>
    <row r="158" spans="1:24">
      <c r="A158" s="10" t="s">
        <v>431</v>
      </c>
      <c r="B158" s="10" t="s">
        <v>192</v>
      </c>
      <c r="C158" s="13" t="s">
        <v>432</v>
      </c>
      <c r="D158" s="10" t="s">
        <v>20</v>
      </c>
      <c r="E158" s="10" t="s">
        <v>76</v>
      </c>
      <c r="F158" s="13" t="s">
        <v>33</v>
      </c>
      <c r="G158" s="10" t="s">
        <v>7</v>
      </c>
      <c r="H158" s="10" t="s">
        <v>179</v>
      </c>
      <c r="I158" s="10" t="s">
        <v>78</v>
      </c>
      <c r="J158" s="14" t="s">
        <v>79</v>
      </c>
      <c r="K158" s="15" t="s">
        <v>86</v>
      </c>
      <c r="L158" s="14" t="s">
        <v>87</v>
      </c>
      <c r="M158" s="72" t="s">
        <v>82</v>
      </c>
      <c r="N158" s="70">
        <v>1</v>
      </c>
      <c r="O158" s="70">
        <v>3</v>
      </c>
      <c r="P158" s="70">
        <v>2</v>
      </c>
      <c r="Q158" s="70">
        <v>3</v>
      </c>
      <c r="R158" s="70">
        <v>0</v>
      </c>
      <c r="S158" s="70">
        <v>4</v>
      </c>
      <c r="T158" s="70">
        <v>2</v>
      </c>
      <c r="U158" s="70">
        <v>3</v>
      </c>
      <c r="V158" s="70">
        <v>0</v>
      </c>
      <c r="W158" s="71" t="s">
        <v>83</v>
      </c>
      <c r="X158" s="72">
        <v>0</v>
      </c>
    </row>
    <row r="159" spans="1:24">
      <c r="A159" s="10" t="s">
        <v>433</v>
      </c>
      <c r="B159" s="10" t="s">
        <v>192</v>
      </c>
      <c r="C159" s="13" t="s">
        <v>434</v>
      </c>
      <c r="D159" s="10" t="s">
        <v>20</v>
      </c>
      <c r="E159" s="10" t="s">
        <v>76</v>
      </c>
      <c r="F159" s="13" t="s">
        <v>37</v>
      </c>
      <c r="G159" s="10" t="s">
        <v>8</v>
      </c>
      <c r="H159" s="10" t="s">
        <v>77</v>
      </c>
      <c r="I159" s="10" t="s">
        <v>78</v>
      </c>
      <c r="J159" s="14" t="s">
        <v>79</v>
      </c>
      <c r="K159" s="15" t="s">
        <v>86</v>
      </c>
      <c r="L159" s="14" t="s">
        <v>87</v>
      </c>
      <c r="M159" s="72" t="s">
        <v>82</v>
      </c>
      <c r="N159" s="70">
        <v>1</v>
      </c>
      <c r="O159" s="70">
        <v>3</v>
      </c>
      <c r="P159" s="70">
        <v>2</v>
      </c>
      <c r="Q159" s="70">
        <v>0</v>
      </c>
      <c r="R159" s="70">
        <v>0</v>
      </c>
      <c r="S159" s="70">
        <v>4</v>
      </c>
      <c r="T159" s="70">
        <v>3</v>
      </c>
      <c r="U159" s="70">
        <v>1</v>
      </c>
      <c r="V159" s="70">
        <v>0</v>
      </c>
      <c r="W159" s="71" t="s">
        <v>83</v>
      </c>
      <c r="X159" s="72">
        <v>0</v>
      </c>
    </row>
    <row r="160" spans="1:24">
      <c r="A160" s="10" t="s">
        <v>435</v>
      </c>
      <c r="B160" s="10" t="s">
        <v>192</v>
      </c>
      <c r="C160" s="13" t="s">
        <v>436</v>
      </c>
      <c r="D160" s="10" t="s">
        <v>20</v>
      </c>
      <c r="E160" s="10" t="s">
        <v>76</v>
      </c>
      <c r="F160" s="13" t="s">
        <v>40</v>
      </c>
      <c r="G160" s="10" t="s">
        <v>8</v>
      </c>
      <c r="H160" s="10" t="s">
        <v>77</v>
      </c>
      <c r="I160" s="10" t="s">
        <v>78</v>
      </c>
      <c r="J160" s="14" t="s">
        <v>79</v>
      </c>
      <c r="K160" s="15" t="s">
        <v>86</v>
      </c>
      <c r="L160" s="14" t="s">
        <v>87</v>
      </c>
      <c r="M160" s="72" t="s">
        <v>82</v>
      </c>
      <c r="N160" s="70">
        <v>1</v>
      </c>
      <c r="O160" s="70">
        <v>4</v>
      </c>
      <c r="P160" s="70">
        <v>2</v>
      </c>
      <c r="Q160" s="70">
        <v>1</v>
      </c>
      <c r="R160" s="70">
        <v>0</v>
      </c>
      <c r="S160" s="70">
        <v>5</v>
      </c>
      <c r="T160" s="70">
        <v>3</v>
      </c>
      <c r="U160" s="70">
        <v>2</v>
      </c>
      <c r="V160" s="70">
        <v>0</v>
      </c>
      <c r="W160" s="71" t="s">
        <v>83</v>
      </c>
      <c r="X160" s="72">
        <v>0</v>
      </c>
    </row>
    <row r="161" spans="1:24">
      <c r="A161" s="10" t="s">
        <v>437</v>
      </c>
      <c r="B161" s="10" t="s">
        <v>192</v>
      </c>
      <c r="C161" s="13" t="s">
        <v>438</v>
      </c>
      <c r="D161" s="10" t="s">
        <v>20</v>
      </c>
      <c r="E161" s="10" t="s">
        <v>76</v>
      </c>
      <c r="F161" s="13" t="s">
        <v>39</v>
      </c>
      <c r="G161" s="10" t="s">
        <v>7</v>
      </c>
      <c r="H161" s="10" t="s">
        <v>77</v>
      </c>
      <c r="I161" s="10" t="s">
        <v>78</v>
      </c>
      <c r="J161" s="14" t="s">
        <v>79</v>
      </c>
      <c r="K161" s="15" t="s">
        <v>86</v>
      </c>
      <c r="L161" s="14" t="s">
        <v>87</v>
      </c>
      <c r="M161" s="72" t="s">
        <v>82</v>
      </c>
      <c r="N161" s="70">
        <v>1</v>
      </c>
      <c r="O161" s="70">
        <v>2</v>
      </c>
      <c r="P161" s="70">
        <v>0</v>
      </c>
      <c r="Q161" s="70">
        <v>1</v>
      </c>
      <c r="R161" s="70">
        <v>0</v>
      </c>
      <c r="S161" s="70">
        <v>3</v>
      </c>
      <c r="T161" s="70">
        <v>0</v>
      </c>
      <c r="U161" s="70">
        <v>2</v>
      </c>
      <c r="V161" s="70">
        <v>0</v>
      </c>
      <c r="W161" s="71" t="s">
        <v>83</v>
      </c>
      <c r="X161" s="72">
        <v>0</v>
      </c>
    </row>
    <row r="162" spans="1:24">
      <c r="A162" s="10" t="s">
        <v>439</v>
      </c>
      <c r="B162" s="10" t="s">
        <v>192</v>
      </c>
      <c r="C162" s="13" t="s">
        <v>440</v>
      </c>
      <c r="D162" s="10" t="s">
        <v>20</v>
      </c>
      <c r="E162" s="10" t="s">
        <v>76</v>
      </c>
      <c r="F162" s="13" t="s">
        <v>38</v>
      </c>
      <c r="G162" s="10" t="s">
        <v>7</v>
      </c>
      <c r="H162" s="10" t="s">
        <v>77</v>
      </c>
      <c r="I162" s="10" t="s">
        <v>78</v>
      </c>
      <c r="J162" s="14" t="s">
        <v>79</v>
      </c>
      <c r="K162" s="15" t="s">
        <v>86</v>
      </c>
      <c r="L162" s="14" t="s">
        <v>87</v>
      </c>
      <c r="M162" s="72" t="s">
        <v>82</v>
      </c>
      <c r="N162" s="70">
        <v>1</v>
      </c>
      <c r="O162" s="70">
        <v>16</v>
      </c>
      <c r="P162" s="70">
        <v>4</v>
      </c>
      <c r="Q162" s="70">
        <v>2</v>
      </c>
      <c r="R162" s="70">
        <v>2</v>
      </c>
      <c r="S162" s="70">
        <v>17</v>
      </c>
      <c r="T162" s="70">
        <v>4</v>
      </c>
      <c r="U162" s="70">
        <v>3</v>
      </c>
      <c r="V162" s="70">
        <v>2</v>
      </c>
      <c r="W162" s="71" t="s">
        <v>83</v>
      </c>
      <c r="X162" s="72">
        <v>0</v>
      </c>
    </row>
    <row r="163" spans="1:24">
      <c r="A163" s="10" t="s">
        <v>441</v>
      </c>
      <c r="B163" s="10" t="s">
        <v>192</v>
      </c>
      <c r="C163" s="13" t="s">
        <v>442</v>
      </c>
      <c r="D163" s="10" t="s">
        <v>20</v>
      </c>
      <c r="E163" s="10" t="s">
        <v>76</v>
      </c>
      <c r="F163" s="13" t="s">
        <v>40</v>
      </c>
      <c r="G163" s="10" t="s">
        <v>7</v>
      </c>
      <c r="H163" s="10" t="s">
        <v>77</v>
      </c>
      <c r="I163" s="10" t="s">
        <v>78</v>
      </c>
      <c r="J163" s="14" t="s">
        <v>79</v>
      </c>
      <c r="K163" s="15" t="s">
        <v>86</v>
      </c>
      <c r="L163" s="14" t="s">
        <v>87</v>
      </c>
      <c r="M163" s="72" t="s">
        <v>82</v>
      </c>
      <c r="N163" s="70">
        <v>1</v>
      </c>
      <c r="O163" s="70">
        <v>9</v>
      </c>
      <c r="P163" s="70">
        <v>6</v>
      </c>
      <c r="Q163" s="70">
        <v>0</v>
      </c>
      <c r="R163" s="70">
        <v>0</v>
      </c>
      <c r="S163" s="70">
        <v>10</v>
      </c>
      <c r="T163" s="70">
        <v>6</v>
      </c>
      <c r="U163" s="70">
        <v>1</v>
      </c>
      <c r="V163" s="70">
        <v>0</v>
      </c>
      <c r="W163" s="71" t="s">
        <v>83</v>
      </c>
      <c r="X163" s="72">
        <v>0</v>
      </c>
    </row>
    <row r="164" spans="1:24">
      <c r="A164" s="10" t="s">
        <v>443</v>
      </c>
      <c r="B164" s="10" t="s">
        <v>192</v>
      </c>
      <c r="C164" s="13" t="s">
        <v>444</v>
      </c>
      <c r="D164" s="10" t="s">
        <v>20</v>
      </c>
      <c r="E164" s="10" t="s">
        <v>76</v>
      </c>
      <c r="F164" s="13" t="s">
        <v>33</v>
      </c>
      <c r="G164" s="10" t="s">
        <v>8</v>
      </c>
      <c r="H164" s="10" t="s">
        <v>77</v>
      </c>
      <c r="I164" s="10" t="s">
        <v>78</v>
      </c>
      <c r="J164" s="14" t="s">
        <v>79</v>
      </c>
      <c r="K164" s="15" t="s">
        <v>86</v>
      </c>
      <c r="L164" s="14" t="s">
        <v>87</v>
      </c>
      <c r="M164" s="72" t="s">
        <v>124</v>
      </c>
      <c r="N164" s="70">
        <v>0</v>
      </c>
      <c r="O164" s="70">
        <v>0</v>
      </c>
      <c r="P164" s="70">
        <v>0</v>
      </c>
      <c r="Q164" s="70">
        <v>0</v>
      </c>
      <c r="R164" s="70">
        <v>0</v>
      </c>
      <c r="S164" s="70">
        <v>0</v>
      </c>
      <c r="T164" s="70">
        <v>1</v>
      </c>
      <c r="U164" s="70">
        <v>1</v>
      </c>
      <c r="V164" s="70">
        <v>0</v>
      </c>
      <c r="W164" s="71" t="s">
        <v>83</v>
      </c>
      <c r="X164" s="73" t="s">
        <v>125</v>
      </c>
    </row>
    <row r="165" spans="1:24">
      <c r="A165" s="10" t="s">
        <v>445</v>
      </c>
      <c r="B165" s="10" t="s">
        <v>192</v>
      </c>
      <c r="C165" s="13" t="s">
        <v>446</v>
      </c>
      <c r="D165" s="10" t="s">
        <v>20</v>
      </c>
      <c r="E165" s="10" t="s">
        <v>76</v>
      </c>
      <c r="F165" s="13" t="s">
        <v>41</v>
      </c>
      <c r="G165" s="10" t="s">
        <v>8</v>
      </c>
      <c r="H165" s="10" t="s">
        <v>179</v>
      </c>
      <c r="I165" s="10" t="s">
        <v>78</v>
      </c>
      <c r="J165" s="14" t="s">
        <v>79</v>
      </c>
      <c r="K165" s="15" t="s">
        <v>86</v>
      </c>
      <c r="L165" s="14" t="s">
        <v>87</v>
      </c>
      <c r="M165" s="72" t="s">
        <v>124</v>
      </c>
      <c r="N165" s="70">
        <v>0</v>
      </c>
      <c r="O165" s="70">
        <v>0</v>
      </c>
      <c r="P165" s="70">
        <v>0</v>
      </c>
      <c r="Q165" s="70">
        <v>0</v>
      </c>
      <c r="R165" s="70">
        <v>0</v>
      </c>
      <c r="S165" s="70">
        <v>0</v>
      </c>
      <c r="T165" s="70">
        <v>1</v>
      </c>
      <c r="U165" s="70">
        <v>0</v>
      </c>
      <c r="V165" s="70">
        <v>0</v>
      </c>
      <c r="W165" s="71" t="s">
        <v>83</v>
      </c>
      <c r="X165" s="73" t="s">
        <v>209</v>
      </c>
    </row>
    <row r="166" spans="1:24">
      <c r="A166" s="10" t="s">
        <v>447</v>
      </c>
      <c r="B166" s="10" t="s">
        <v>192</v>
      </c>
      <c r="C166" s="13" t="s">
        <v>448</v>
      </c>
      <c r="D166" s="10" t="s">
        <v>20</v>
      </c>
      <c r="E166" s="10" t="s">
        <v>76</v>
      </c>
      <c r="F166" s="13" t="s">
        <v>33</v>
      </c>
      <c r="G166" s="10" t="s">
        <v>8</v>
      </c>
      <c r="H166" s="10" t="s">
        <v>179</v>
      </c>
      <c r="I166" s="10" t="s">
        <v>78</v>
      </c>
      <c r="J166" s="14" t="s">
        <v>79</v>
      </c>
      <c r="K166" s="15" t="s">
        <v>86</v>
      </c>
      <c r="L166" s="14" t="s">
        <v>87</v>
      </c>
      <c r="M166" s="72" t="s">
        <v>82</v>
      </c>
      <c r="N166" s="70">
        <v>1</v>
      </c>
      <c r="O166" s="70">
        <v>0</v>
      </c>
      <c r="P166" s="70">
        <v>0</v>
      </c>
      <c r="Q166" s="70">
        <v>0</v>
      </c>
      <c r="R166" s="70">
        <v>0</v>
      </c>
      <c r="S166" s="70">
        <v>1</v>
      </c>
      <c r="T166" s="70">
        <v>1</v>
      </c>
      <c r="U166" s="70">
        <v>0</v>
      </c>
      <c r="V166" s="70">
        <v>0</v>
      </c>
      <c r="W166" s="71" t="s">
        <v>83</v>
      </c>
      <c r="X166" s="72">
        <v>0</v>
      </c>
    </row>
    <row r="167" spans="1:24">
      <c r="A167" s="10" t="s">
        <v>449</v>
      </c>
      <c r="B167" s="10" t="s">
        <v>192</v>
      </c>
      <c r="C167" s="13" t="s">
        <v>450</v>
      </c>
      <c r="D167" s="10" t="s">
        <v>20</v>
      </c>
      <c r="E167" s="10" t="s">
        <v>76</v>
      </c>
      <c r="F167" s="13" t="s">
        <v>40</v>
      </c>
      <c r="G167" s="10" t="s">
        <v>8</v>
      </c>
      <c r="H167" s="10" t="s">
        <v>77</v>
      </c>
      <c r="I167" s="10" t="s">
        <v>78</v>
      </c>
      <c r="J167" s="14" t="s">
        <v>79</v>
      </c>
      <c r="K167" s="15" t="s">
        <v>80</v>
      </c>
      <c r="L167" s="14" t="s">
        <v>81</v>
      </c>
      <c r="M167" s="72" t="s">
        <v>124</v>
      </c>
      <c r="N167" s="70">
        <v>0</v>
      </c>
      <c r="O167" s="70">
        <v>0</v>
      </c>
      <c r="P167" s="70">
        <v>0</v>
      </c>
      <c r="Q167" s="70">
        <v>0</v>
      </c>
      <c r="R167" s="70">
        <v>0</v>
      </c>
      <c r="S167" s="70">
        <v>0</v>
      </c>
      <c r="T167" s="70">
        <v>1</v>
      </c>
      <c r="U167" s="70">
        <v>1</v>
      </c>
      <c r="V167" s="70">
        <v>0</v>
      </c>
      <c r="W167" s="71" t="s">
        <v>83</v>
      </c>
      <c r="X167" s="73" t="s">
        <v>125</v>
      </c>
    </row>
    <row r="168" spans="1:24">
      <c r="A168" s="10" t="s">
        <v>451</v>
      </c>
      <c r="B168" s="10" t="s">
        <v>192</v>
      </c>
      <c r="C168" s="13" t="s">
        <v>452</v>
      </c>
      <c r="D168" s="10" t="s">
        <v>20</v>
      </c>
      <c r="E168" s="10" t="s">
        <v>76</v>
      </c>
      <c r="F168" s="13" t="s">
        <v>33</v>
      </c>
      <c r="G168" s="10" t="s">
        <v>8</v>
      </c>
      <c r="H168" s="10" t="s">
        <v>77</v>
      </c>
      <c r="I168" s="10" t="s">
        <v>78</v>
      </c>
      <c r="J168" s="14" t="s">
        <v>79</v>
      </c>
      <c r="K168" s="15" t="s">
        <v>86</v>
      </c>
      <c r="L168" s="14" t="s">
        <v>87</v>
      </c>
      <c r="M168" s="72" t="s">
        <v>82</v>
      </c>
      <c r="N168" s="70">
        <v>1</v>
      </c>
      <c r="O168" s="70">
        <v>2</v>
      </c>
      <c r="P168" s="70">
        <v>1</v>
      </c>
      <c r="Q168" s="70">
        <v>2</v>
      </c>
      <c r="R168" s="70">
        <v>0</v>
      </c>
      <c r="S168" s="70">
        <v>3</v>
      </c>
      <c r="T168" s="70">
        <v>2</v>
      </c>
      <c r="U168" s="70">
        <v>3</v>
      </c>
      <c r="V168" s="70">
        <v>0</v>
      </c>
      <c r="W168" s="71" t="s">
        <v>83</v>
      </c>
      <c r="X168" s="72">
        <v>0</v>
      </c>
    </row>
    <row r="169" spans="1:24">
      <c r="A169" s="10" t="s">
        <v>453</v>
      </c>
      <c r="B169" s="10" t="s">
        <v>192</v>
      </c>
      <c r="C169" s="13" t="s">
        <v>454</v>
      </c>
      <c r="D169" s="10" t="s">
        <v>20</v>
      </c>
      <c r="E169" s="10" t="s">
        <v>76</v>
      </c>
      <c r="F169" s="13" t="s">
        <v>33</v>
      </c>
      <c r="G169" s="10" t="s">
        <v>8</v>
      </c>
      <c r="H169" s="10" t="s">
        <v>77</v>
      </c>
      <c r="I169" s="10" t="s">
        <v>78</v>
      </c>
      <c r="J169" s="14" t="s">
        <v>79</v>
      </c>
      <c r="K169" s="15" t="s">
        <v>86</v>
      </c>
      <c r="L169" s="14" t="s">
        <v>87</v>
      </c>
      <c r="M169" s="72" t="s">
        <v>82</v>
      </c>
      <c r="N169" s="70">
        <v>1</v>
      </c>
      <c r="O169" s="70">
        <v>3</v>
      </c>
      <c r="P169" s="70">
        <v>1</v>
      </c>
      <c r="Q169" s="70">
        <v>2</v>
      </c>
      <c r="R169" s="70">
        <v>1</v>
      </c>
      <c r="S169" s="70">
        <v>4</v>
      </c>
      <c r="T169" s="70">
        <v>2</v>
      </c>
      <c r="U169" s="70">
        <v>3</v>
      </c>
      <c r="V169" s="70">
        <v>1</v>
      </c>
      <c r="W169" s="71" t="s">
        <v>83</v>
      </c>
      <c r="X169" s="72">
        <v>0</v>
      </c>
    </row>
    <row r="170" spans="1:24">
      <c r="A170" s="10" t="s">
        <v>455</v>
      </c>
      <c r="B170" s="10" t="s">
        <v>456</v>
      </c>
      <c r="C170" s="13" t="s">
        <v>457</v>
      </c>
      <c r="D170" s="10" t="s">
        <v>23</v>
      </c>
      <c r="E170" s="10" t="s">
        <v>76</v>
      </c>
      <c r="F170" s="13" t="s">
        <v>34</v>
      </c>
      <c r="G170" s="10" t="s">
        <v>7</v>
      </c>
      <c r="H170" s="10" t="s">
        <v>179</v>
      </c>
      <c r="I170" s="10" t="s">
        <v>78</v>
      </c>
      <c r="J170" s="14" t="s">
        <v>79</v>
      </c>
      <c r="K170" s="15" t="s">
        <v>86</v>
      </c>
      <c r="L170" s="14" t="s">
        <v>87</v>
      </c>
      <c r="M170" s="72" t="s">
        <v>82</v>
      </c>
      <c r="N170" s="70">
        <v>1</v>
      </c>
      <c r="O170" s="70">
        <v>0</v>
      </c>
      <c r="P170" s="70">
        <v>0</v>
      </c>
      <c r="Q170" s="70">
        <v>0</v>
      </c>
      <c r="R170" s="70">
        <v>0</v>
      </c>
      <c r="S170" s="70">
        <v>1</v>
      </c>
      <c r="T170" s="70">
        <v>0</v>
      </c>
      <c r="U170" s="70">
        <v>0</v>
      </c>
      <c r="V170" s="70">
        <v>0</v>
      </c>
      <c r="W170" s="71" t="s">
        <v>83</v>
      </c>
      <c r="X170" s="72">
        <v>0</v>
      </c>
    </row>
    <row r="171" spans="1:24">
      <c r="A171" s="10" t="s">
        <v>458</v>
      </c>
      <c r="B171" s="10" t="s">
        <v>197</v>
      </c>
      <c r="C171" s="13" t="s">
        <v>459</v>
      </c>
      <c r="D171" s="10" t="s">
        <v>23</v>
      </c>
      <c r="E171" s="10" t="s">
        <v>76</v>
      </c>
      <c r="F171" s="13" t="s">
        <v>43</v>
      </c>
      <c r="G171" s="10" t="s">
        <v>7</v>
      </c>
      <c r="H171" s="10" t="s">
        <v>77</v>
      </c>
      <c r="I171" s="10" t="s">
        <v>128</v>
      </c>
      <c r="J171" s="14" t="s">
        <v>79</v>
      </c>
      <c r="K171" s="15" t="s">
        <v>86</v>
      </c>
      <c r="L171" s="14" t="s">
        <v>87</v>
      </c>
      <c r="M171" s="72" t="s">
        <v>82</v>
      </c>
      <c r="N171" s="70">
        <v>1</v>
      </c>
      <c r="O171" s="70">
        <v>1</v>
      </c>
      <c r="P171" s="70">
        <v>1</v>
      </c>
      <c r="Q171" s="70">
        <v>1</v>
      </c>
      <c r="R171" s="70">
        <v>1</v>
      </c>
      <c r="S171" s="70">
        <v>2</v>
      </c>
      <c r="T171" s="70">
        <v>1</v>
      </c>
      <c r="U171" s="70">
        <v>2</v>
      </c>
      <c r="V171" s="70">
        <v>2</v>
      </c>
      <c r="W171" s="71" t="s">
        <v>83</v>
      </c>
      <c r="X171" s="72">
        <v>0</v>
      </c>
    </row>
    <row r="172" spans="1:24">
      <c r="A172" s="10" t="s">
        <v>460</v>
      </c>
      <c r="B172" s="10" t="s">
        <v>197</v>
      </c>
      <c r="C172" s="13" t="s">
        <v>461</v>
      </c>
      <c r="D172" s="10" t="s">
        <v>23</v>
      </c>
      <c r="E172" s="10" t="s">
        <v>76</v>
      </c>
      <c r="F172" s="13" t="s">
        <v>34</v>
      </c>
      <c r="G172" s="10" t="s">
        <v>7</v>
      </c>
      <c r="H172" s="10" t="s">
        <v>179</v>
      </c>
      <c r="I172" s="10" t="s">
        <v>78</v>
      </c>
      <c r="J172" s="14" t="s">
        <v>79</v>
      </c>
      <c r="K172" s="15" t="s">
        <v>80</v>
      </c>
      <c r="L172" s="14" t="s">
        <v>81</v>
      </c>
      <c r="M172" s="72" t="s">
        <v>82</v>
      </c>
      <c r="N172" s="70">
        <v>1</v>
      </c>
      <c r="O172" s="70">
        <v>1</v>
      </c>
      <c r="P172" s="70">
        <v>1</v>
      </c>
      <c r="Q172" s="70">
        <v>1</v>
      </c>
      <c r="R172" s="70">
        <v>0</v>
      </c>
      <c r="S172" s="70">
        <v>2</v>
      </c>
      <c r="T172" s="70">
        <v>1</v>
      </c>
      <c r="U172" s="70">
        <v>1</v>
      </c>
      <c r="V172" s="70">
        <v>0</v>
      </c>
      <c r="W172" s="71" t="s">
        <v>83</v>
      </c>
      <c r="X172" s="72">
        <v>0</v>
      </c>
    </row>
    <row r="173" spans="1:24">
      <c r="A173" s="10" t="s">
        <v>462</v>
      </c>
      <c r="B173" s="10" t="s">
        <v>197</v>
      </c>
      <c r="C173" s="13" t="s">
        <v>463</v>
      </c>
      <c r="D173" s="10" t="s">
        <v>23</v>
      </c>
      <c r="E173" s="10" t="s">
        <v>76</v>
      </c>
      <c r="F173" s="13" t="s">
        <v>33</v>
      </c>
      <c r="G173" s="10" t="s">
        <v>8</v>
      </c>
      <c r="H173" s="10" t="s">
        <v>77</v>
      </c>
      <c r="I173" s="10" t="s">
        <v>78</v>
      </c>
      <c r="J173" s="14" t="s">
        <v>79</v>
      </c>
      <c r="K173" s="15" t="s">
        <v>86</v>
      </c>
      <c r="L173" s="14" t="s">
        <v>87</v>
      </c>
      <c r="M173" s="72" t="s">
        <v>82</v>
      </c>
      <c r="N173" s="70">
        <v>1</v>
      </c>
      <c r="O173" s="70">
        <v>0</v>
      </c>
      <c r="P173" s="70">
        <v>0</v>
      </c>
      <c r="Q173" s="70">
        <v>0</v>
      </c>
      <c r="R173" s="70">
        <v>0</v>
      </c>
      <c r="S173" s="70">
        <v>1</v>
      </c>
      <c r="T173" s="70">
        <v>1</v>
      </c>
      <c r="U173" s="70">
        <v>1</v>
      </c>
      <c r="V173" s="70">
        <v>0</v>
      </c>
      <c r="W173" s="71" t="s">
        <v>83</v>
      </c>
      <c r="X173" s="72">
        <v>0</v>
      </c>
    </row>
    <row r="174" spans="1:24">
      <c r="A174" s="10" t="s">
        <v>464</v>
      </c>
      <c r="B174" s="10" t="s">
        <v>197</v>
      </c>
      <c r="C174" s="13" t="s">
        <v>465</v>
      </c>
      <c r="D174" s="10" t="s">
        <v>23</v>
      </c>
      <c r="E174" s="10" t="s">
        <v>76</v>
      </c>
      <c r="F174" s="13" t="s">
        <v>41</v>
      </c>
      <c r="G174" s="10" t="s">
        <v>8</v>
      </c>
      <c r="H174" s="10" t="s">
        <v>77</v>
      </c>
      <c r="I174" s="10" t="s">
        <v>78</v>
      </c>
      <c r="J174" s="14" t="s">
        <v>79</v>
      </c>
      <c r="K174" s="15" t="s">
        <v>86</v>
      </c>
      <c r="L174" s="14" t="s">
        <v>87</v>
      </c>
      <c r="M174" s="72" t="s">
        <v>82</v>
      </c>
      <c r="N174" s="70">
        <v>1</v>
      </c>
      <c r="O174" s="70">
        <v>6</v>
      </c>
      <c r="P174" s="70">
        <v>4</v>
      </c>
      <c r="Q174" s="70">
        <v>1</v>
      </c>
      <c r="R174" s="70">
        <v>2</v>
      </c>
      <c r="S174" s="70">
        <v>7</v>
      </c>
      <c r="T174" s="70">
        <v>5</v>
      </c>
      <c r="U174" s="70">
        <v>2</v>
      </c>
      <c r="V174" s="70">
        <v>2</v>
      </c>
      <c r="W174" s="71" t="s">
        <v>83</v>
      </c>
      <c r="X174" s="72">
        <v>0</v>
      </c>
    </row>
    <row r="175" spans="1:24">
      <c r="A175" s="10" t="s">
        <v>466</v>
      </c>
      <c r="B175" s="10" t="s">
        <v>197</v>
      </c>
      <c r="C175" s="13" t="s">
        <v>467</v>
      </c>
      <c r="D175" s="10" t="s">
        <v>23</v>
      </c>
      <c r="E175" s="10" t="s">
        <v>76</v>
      </c>
      <c r="F175" s="13" t="s">
        <v>32</v>
      </c>
      <c r="G175" s="10" t="s">
        <v>8</v>
      </c>
      <c r="H175" s="10" t="s">
        <v>90</v>
      </c>
      <c r="I175" s="10" t="s">
        <v>78</v>
      </c>
      <c r="J175" s="14" t="s">
        <v>79</v>
      </c>
      <c r="K175" s="15" t="s">
        <v>86</v>
      </c>
      <c r="L175" s="14" t="s">
        <v>87</v>
      </c>
      <c r="M175" s="72" t="s">
        <v>82</v>
      </c>
      <c r="N175" s="70">
        <v>1</v>
      </c>
      <c r="O175" s="70">
        <v>1</v>
      </c>
      <c r="P175" s="70">
        <v>1</v>
      </c>
      <c r="Q175" s="70">
        <v>0</v>
      </c>
      <c r="R175" s="70">
        <v>0</v>
      </c>
      <c r="S175" s="70">
        <v>2</v>
      </c>
      <c r="T175" s="70">
        <v>2</v>
      </c>
      <c r="U175" s="70">
        <v>0</v>
      </c>
      <c r="V175" s="70">
        <v>0</v>
      </c>
      <c r="W175" s="71" t="s">
        <v>83</v>
      </c>
      <c r="X175" s="72">
        <v>0</v>
      </c>
    </row>
    <row r="176" spans="1:24">
      <c r="A176" s="10" t="s">
        <v>468</v>
      </c>
      <c r="B176" s="10" t="s">
        <v>213</v>
      </c>
      <c r="C176" s="13" t="s">
        <v>469</v>
      </c>
      <c r="D176" s="10" t="s">
        <v>23</v>
      </c>
      <c r="E176" s="10" t="s">
        <v>76</v>
      </c>
      <c r="F176" s="13" t="s">
        <v>32</v>
      </c>
      <c r="G176" s="10" t="s">
        <v>7</v>
      </c>
      <c r="H176" s="10" t="s">
        <v>90</v>
      </c>
      <c r="I176" s="10" t="s">
        <v>78</v>
      </c>
      <c r="J176" s="14" t="s">
        <v>79</v>
      </c>
      <c r="K176" s="15" t="s">
        <v>86</v>
      </c>
      <c r="L176" s="14" t="s">
        <v>87</v>
      </c>
      <c r="M176" s="72" t="s">
        <v>82</v>
      </c>
      <c r="N176" s="70">
        <v>1</v>
      </c>
      <c r="O176" s="70">
        <v>6</v>
      </c>
      <c r="P176" s="70">
        <v>2</v>
      </c>
      <c r="Q176" s="70">
        <v>0</v>
      </c>
      <c r="R176" s="70">
        <v>0</v>
      </c>
      <c r="S176" s="70">
        <v>7</v>
      </c>
      <c r="T176" s="70">
        <v>2</v>
      </c>
      <c r="U176" s="70">
        <v>0</v>
      </c>
      <c r="V176" s="70">
        <v>0</v>
      </c>
      <c r="W176" s="71" t="s">
        <v>83</v>
      </c>
      <c r="X176" s="72">
        <v>0</v>
      </c>
    </row>
    <row r="177" spans="1:24">
      <c r="A177" s="10" t="s">
        <v>470</v>
      </c>
      <c r="B177" s="10" t="s">
        <v>213</v>
      </c>
      <c r="C177" s="13" t="s">
        <v>471</v>
      </c>
      <c r="D177" s="10" t="s">
        <v>23</v>
      </c>
      <c r="E177" s="10" t="s">
        <v>76</v>
      </c>
      <c r="F177" s="13" t="s">
        <v>39</v>
      </c>
      <c r="G177" s="10" t="s">
        <v>7</v>
      </c>
      <c r="H177" s="10" t="s">
        <v>77</v>
      </c>
      <c r="I177" s="10" t="s">
        <v>78</v>
      </c>
      <c r="J177" s="14" t="s">
        <v>79</v>
      </c>
      <c r="K177" s="15" t="s">
        <v>86</v>
      </c>
      <c r="L177" s="14" t="s">
        <v>87</v>
      </c>
      <c r="M177" s="72" t="s">
        <v>82</v>
      </c>
      <c r="N177" s="70">
        <v>1</v>
      </c>
      <c r="O177" s="70">
        <v>1</v>
      </c>
      <c r="P177" s="70">
        <v>0</v>
      </c>
      <c r="Q177" s="70">
        <v>1</v>
      </c>
      <c r="R177" s="70">
        <v>0</v>
      </c>
      <c r="S177" s="70">
        <v>2</v>
      </c>
      <c r="T177" s="70">
        <v>0</v>
      </c>
      <c r="U177" s="70">
        <v>2</v>
      </c>
      <c r="V177" s="70">
        <v>0</v>
      </c>
      <c r="W177" s="71" t="s">
        <v>83</v>
      </c>
      <c r="X177" s="72">
        <v>0</v>
      </c>
    </row>
    <row r="178" spans="1:24">
      <c r="A178" s="10" t="s">
        <v>472</v>
      </c>
      <c r="B178" s="10" t="s">
        <v>213</v>
      </c>
      <c r="C178" s="13" t="s">
        <v>473</v>
      </c>
      <c r="D178" s="10" t="s">
        <v>23</v>
      </c>
      <c r="E178" s="10" t="s">
        <v>76</v>
      </c>
      <c r="F178" s="13" t="s">
        <v>32</v>
      </c>
      <c r="G178" s="10" t="s">
        <v>8</v>
      </c>
      <c r="H178" s="10" t="s">
        <v>77</v>
      </c>
      <c r="I178" s="10" t="s">
        <v>78</v>
      </c>
      <c r="J178" s="14" t="s">
        <v>79</v>
      </c>
      <c r="K178" s="15" t="s">
        <v>86</v>
      </c>
      <c r="L178" s="14" t="s">
        <v>87</v>
      </c>
      <c r="M178" s="72" t="s">
        <v>82</v>
      </c>
      <c r="N178" s="70">
        <v>1</v>
      </c>
      <c r="O178" s="70">
        <v>6</v>
      </c>
      <c r="P178" s="70">
        <v>1</v>
      </c>
      <c r="Q178" s="70">
        <v>1</v>
      </c>
      <c r="R178" s="70">
        <v>1</v>
      </c>
      <c r="S178" s="70">
        <v>7</v>
      </c>
      <c r="T178" s="70">
        <v>2</v>
      </c>
      <c r="U178" s="70">
        <v>2</v>
      </c>
      <c r="V178" s="70">
        <v>1</v>
      </c>
      <c r="W178" s="71" t="s">
        <v>83</v>
      </c>
      <c r="X178" s="72">
        <v>0</v>
      </c>
    </row>
    <row r="179" spans="1:24">
      <c r="A179" s="10" t="s">
        <v>474</v>
      </c>
      <c r="B179" s="10" t="s">
        <v>213</v>
      </c>
      <c r="C179" s="13" t="s">
        <v>475</v>
      </c>
      <c r="D179" s="10" t="s">
        <v>23</v>
      </c>
      <c r="E179" s="10" t="s">
        <v>76</v>
      </c>
      <c r="F179" s="13" t="s">
        <v>33</v>
      </c>
      <c r="G179" s="10" t="s">
        <v>7</v>
      </c>
      <c r="H179" s="10" t="s">
        <v>77</v>
      </c>
      <c r="I179" s="10" t="s">
        <v>78</v>
      </c>
      <c r="J179" s="14" t="s">
        <v>79</v>
      </c>
      <c r="K179" s="15" t="s">
        <v>86</v>
      </c>
      <c r="L179" s="14" t="s">
        <v>87</v>
      </c>
      <c r="M179" s="72" t="s">
        <v>82</v>
      </c>
      <c r="N179" s="70">
        <v>1</v>
      </c>
      <c r="O179" s="70">
        <v>2</v>
      </c>
      <c r="P179" s="70">
        <v>0</v>
      </c>
      <c r="Q179" s="70">
        <v>1</v>
      </c>
      <c r="R179" s="70">
        <v>0</v>
      </c>
      <c r="S179" s="70">
        <v>3</v>
      </c>
      <c r="T179" s="70">
        <v>0</v>
      </c>
      <c r="U179" s="70">
        <v>2</v>
      </c>
      <c r="V179" s="70">
        <v>0</v>
      </c>
      <c r="W179" s="71" t="s">
        <v>83</v>
      </c>
      <c r="X179" s="72">
        <v>0</v>
      </c>
    </row>
    <row r="180" spans="1:24">
      <c r="A180" s="10" t="s">
        <v>476</v>
      </c>
      <c r="B180" s="10" t="s">
        <v>477</v>
      </c>
      <c r="C180" s="13" t="s">
        <v>478</v>
      </c>
      <c r="D180" s="10" t="s">
        <v>15</v>
      </c>
      <c r="E180" s="10" t="s">
        <v>224</v>
      </c>
      <c r="F180" s="13" t="s">
        <v>34</v>
      </c>
      <c r="G180" s="10" t="s">
        <v>7</v>
      </c>
      <c r="H180" s="10" t="s">
        <v>77</v>
      </c>
      <c r="I180" s="10" t="s">
        <v>78</v>
      </c>
      <c r="J180" s="14" t="s">
        <v>79</v>
      </c>
      <c r="K180" s="15" t="s">
        <v>80</v>
      </c>
      <c r="L180" s="14" t="s">
        <v>81</v>
      </c>
      <c r="M180" s="72" t="s">
        <v>124</v>
      </c>
      <c r="N180" s="70">
        <v>0</v>
      </c>
      <c r="O180" s="70">
        <v>10</v>
      </c>
      <c r="P180" s="70">
        <v>3</v>
      </c>
      <c r="Q180" s="70">
        <v>1</v>
      </c>
      <c r="R180" s="70">
        <v>0</v>
      </c>
      <c r="S180" s="70">
        <v>10</v>
      </c>
      <c r="T180" s="70">
        <v>3</v>
      </c>
      <c r="U180" s="70">
        <v>2</v>
      </c>
      <c r="V180" s="70">
        <v>0</v>
      </c>
      <c r="W180" s="71" t="s">
        <v>83</v>
      </c>
      <c r="X180" s="72">
        <v>0</v>
      </c>
    </row>
    <row r="181" spans="1:24">
      <c r="A181" s="10" t="s">
        <v>479</v>
      </c>
      <c r="B181" s="10" t="s">
        <v>236</v>
      </c>
      <c r="C181" s="13" t="s">
        <v>480</v>
      </c>
      <c r="D181" s="10" t="s">
        <v>15</v>
      </c>
      <c r="E181" s="10" t="s">
        <v>224</v>
      </c>
      <c r="F181" s="13" t="s">
        <v>32</v>
      </c>
      <c r="G181" s="10" t="s">
        <v>8</v>
      </c>
      <c r="H181" s="10" t="s">
        <v>90</v>
      </c>
      <c r="I181" s="10" t="s">
        <v>78</v>
      </c>
      <c r="J181" s="14" t="s">
        <v>79</v>
      </c>
      <c r="K181" s="15" t="s">
        <v>86</v>
      </c>
      <c r="L181" s="14" t="s">
        <v>87</v>
      </c>
      <c r="M181" s="72" t="s">
        <v>82</v>
      </c>
      <c r="N181" s="70">
        <v>1</v>
      </c>
      <c r="O181" s="70">
        <v>0</v>
      </c>
      <c r="P181" s="70">
        <v>0</v>
      </c>
      <c r="Q181" s="70">
        <v>0</v>
      </c>
      <c r="R181" s="70">
        <v>0</v>
      </c>
      <c r="S181" s="70">
        <v>1</v>
      </c>
      <c r="T181" s="70">
        <v>1</v>
      </c>
      <c r="U181" s="70">
        <v>0</v>
      </c>
      <c r="V181" s="70">
        <v>0</v>
      </c>
      <c r="W181" s="71" t="s">
        <v>83</v>
      </c>
      <c r="X181" s="72">
        <v>0</v>
      </c>
    </row>
    <row r="182" spans="1:24">
      <c r="A182" s="10" t="s">
        <v>481</v>
      </c>
      <c r="B182" s="10" t="s">
        <v>222</v>
      </c>
      <c r="C182" s="13" t="s">
        <v>482</v>
      </c>
      <c r="D182" s="10" t="s">
        <v>15</v>
      </c>
      <c r="E182" s="10" t="s">
        <v>224</v>
      </c>
      <c r="F182" s="13" t="s">
        <v>37</v>
      </c>
      <c r="G182" s="10" t="s">
        <v>8</v>
      </c>
      <c r="H182" s="10" t="s">
        <v>77</v>
      </c>
      <c r="I182" s="10" t="s">
        <v>78</v>
      </c>
      <c r="J182" s="14" t="s">
        <v>79</v>
      </c>
      <c r="K182" s="15" t="s">
        <v>86</v>
      </c>
      <c r="L182" s="14" t="s">
        <v>87</v>
      </c>
      <c r="M182" s="72" t="s">
        <v>82</v>
      </c>
      <c r="N182" s="70">
        <v>1</v>
      </c>
      <c r="O182" s="70">
        <v>0</v>
      </c>
      <c r="P182" s="70">
        <v>0</v>
      </c>
      <c r="Q182" s="70">
        <v>0</v>
      </c>
      <c r="R182" s="70">
        <v>0</v>
      </c>
      <c r="S182" s="70">
        <v>1</v>
      </c>
      <c r="T182" s="70">
        <v>1</v>
      </c>
      <c r="U182" s="70">
        <v>1</v>
      </c>
      <c r="V182" s="70">
        <v>0</v>
      </c>
      <c r="W182" s="71" t="s">
        <v>83</v>
      </c>
      <c r="X182" s="73" t="s">
        <v>483</v>
      </c>
    </row>
    <row r="183" spans="1:24">
      <c r="A183" s="10" t="s">
        <v>484</v>
      </c>
      <c r="B183" s="10" t="s">
        <v>222</v>
      </c>
      <c r="C183" s="13" t="s">
        <v>485</v>
      </c>
      <c r="D183" s="10" t="s">
        <v>15</v>
      </c>
      <c r="E183" s="10" t="s">
        <v>224</v>
      </c>
      <c r="F183" s="13" t="s">
        <v>38</v>
      </c>
      <c r="G183" s="10" t="s">
        <v>7</v>
      </c>
      <c r="H183" s="10" t="s">
        <v>77</v>
      </c>
      <c r="I183" s="10" t="s">
        <v>78</v>
      </c>
      <c r="J183" s="14" t="s">
        <v>79</v>
      </c>
      <c r="K183" s="15" t="s">
        <v>80</v>
      </c>
      <c r="L183" s="14" t="s">
        <v>81</v>
      </c>
      <c r="M183" s="72" t="s">
        <v>82</v>
      </c>
      <c r="N183" s="70">
        <v>1</v>
      </c>
      <c r="O183" s="70">
        <v>11</v>
      </c>
      <c r="P183" s="70">
        <v>7</v>
      </c>
      <c r="Q183" s="70">
        <v>7</v>
      </c>
      <c r="R183" s="70">
        <v>0</v>
      </c>
      <c r="S183" s="70">
        <v>12</v>
      </c>
      <c r="T183" s="70">
        <v>7</v>
      </c>
      <c r="U183" s="70">
        <v>8</v>
      </c>
      <c r="V183" s="70">
        <v>0</v>
      </c>
      <c r="W183" s="71" t="s">
        <v>83</v>
      </c>
      <c r="X183" s="72">
        <v>0</v>
      </c>
    </row>
    <row r="184" spans="1:24">
      <c r="A184" s="10" t="s">
        <v>486</v>
      </c>
      <c r="B184" s="10" t="s">
        <v>477</v>
      </c>
      <c r="C184" s="13" t="s">
        <v>487</v>
      </c>
      <c r="D184" s="10" t="s">
        <v>15</v>
      </c>
      <c r="E184" s="10" t="s">
        <v>224</v>
      </c>
      <c r="F184" s="13" t="s">
        <v>34</v>
      </c>
      <c r="G184" s="10" t="s">
        <v>7</v>
      </c>
      <c r="H184" s="10" t="s">
        <v>77</v>
      </c>
      <c r="I184" s="10" t="s">
        <v>78</v>
      </c>
      <c r="J184" s="14" t="s">
        <v>79</v>
      </c>
      <c r="K184" s="15" t="s">
        <v>86</v>
      </c>
      <c r="L184" s="14" t="s">
        <v>87</v>
      </c>
      <c r="M184" s="72" t="s">
        <v>124</v>
      </c>
      <c r="N184" s="70">
        <v>0</v>
      </c>
      <c r="O184" s="70">
        <v>10</v>
      </c>
      <c r="P184" s="70">
        <v>3</v>
      </c>
      <c r="Q184" s="70">
        <v>1</v>
      </c>
      <c r="R184" s="70">
        <v>0</v>
      </c>
      <c r="S184" s="70">
        <v>10</v>
      </c>
      <c r="T184" s="70">
        <v>3</v>
      </c>
      <c r="U184" s="70">
        <v>2</v>
      </c>
      <c r="V184" s="70">
        <v>0</v>
      </c>
      <c r="W184" s="71" t="s">
        <v>83</v>
      </c>
      <c r="X184" s="72">
        <v>0</v>
      </c>
    </row>
    <row r="185" spans="1:24">
      <c r="A185" s="10" t="s">
        <v>488</v>
      </c>
      <c r="B185" s="10" t="s">
        <v>489</v>
      </c>
      <c r="C185" s="13" t="s">
        <v>490</v>
      </c>
      <c r="D185" s="10" t="s">
        <v>15</v>
      </c>
      <c r="E185" s="10" t="s">
        <v>224</v>
      </c>
      <c r="F185" s="13" t="s">
        <v>30</v>
      </c>
      <c r="G185" s="10" t="s">
        <v>7</v>
      </c>
      <c r="H185" s="10" t="s">
        <v>90</v>
      </c>
      <c r="I185" s="10" t="s">
        <v>78</v>
      </c>
      <c r="J185" s="14" t="s">
        <v>79</v>
      </c>
      <c r="K185" s="15" t="s">
        <v>86</v>
      </c>
      <c r="L185" s="14" t="s">
        <v>87</v>
      </c>
      <c r="M185" s="72" t="s">
        <v>82</v>
      </c>
      <c r="N185" s="70">
        <v>1</v>
      </c>
      <c r="O185" s="70">
        <v>4</v>
      </c>
      <c r="P185" s="70">
        <v>2</v>
      </c>
      <c r="Q185" s="70">
        <v>2</v>
      </c>
      <c r="R185" s="70">
        <v>0</v>
      </c>
      <c r="S185" s="70">
        <v>5</v>
      </c>
      <c r="T185" s="70">
        <v>2</v>
      </c>
      <c r="U185" s="70">
        <v>2</v>
      </c>
      <c r="V185" s="70">
        <v>0</v>
      </c>
      <c r="W185" s="74" t="s">
        <v>254</v>
      </c>
      <c r="X185" s="72">
        <v>0</v>
      </c>
    </row>
    <row r="186" spans="1:24">
      <c r="A186" s="10" t="s">
        <v>491</v>
      </c>
      <c r="B186" s="10" t="s">
        <v>489</v>
      </c>
      <c r="C186" s="13" t="s">
        <v>492</v>
      </c>
      <c r="D186" s="10" t="s">
        <v>15</v>
      </c>
      <c r="E186" s="10" t="s">
        <v>224</v>
      </c>
      <c r="F186" s="13" t="s">
        <v>30</v>
      </c>
      <c r="G186" s="10" t="s">
        <v>7</v>
      </c>
      <c r="H186" s="10" t="s">
        <v>77</v>
      </c>
      <c r="I186" s="10" t="s">
        <v>78</v>
      </c>
      <c r="J186" s="14" t="s">
        <v>79</v>
      </c>
      <c r="K186" s="15" t="s">
        <v>86</v>
      </c>
      <c r="L186" s="14" t="s">
        <v>87</v>
      </c>
      <c r="M186" s="72" t="s">
        <v>82</v>
      </c>
      <c r="N186" s="70">
        <v>1</v>
      </c>
      <c r="O186" s="70">
        <v>0</v>
      </c>
      <c r="P186" s="70">
        <v>0</v>
      </c>
      <c r="Q186" s="70">
        <v>0</v>
      </c>
      <c r="R186" s="70">
        <v>0</v>
      </c>
      <c r="S186" s="70">
        <v>1</v>
      </c>
      <c r="T186" s="70">
        <v>0</v>
      </c>
      <c r="U186" s="70">
        <v>1</v>
      </c>
      <c r="V186" s="70">
        <v>0</v>
      </c>
      <c r="W186" s="74" t="s">
        <v>254</v>
      </c>
      <c r="X186" s="72">
        <v>0</v>
      </c>
    </row>
    <row r="187" spans="1:24">
      <c r="A187" s="10" t="s">
        <v>493</v>
      </c>
      <c r="B187" s="10" t="s">
        <v>222</v>
      </c>
      <c r="C187" s="13" t="s">
        <v>494</v>
      </c>
      <c r="D187" s="10" t="s">
        <v>16</v>
      </c>
      <c r="E187" s="10" t="s">
        <v>224</v>
      </c>
      <c r="F187" s="13" t="s">
        <v>31</v>
      </c>
      <c r="G187" s="10" t="s">
        <v>7</v>
      </c>
      <c r="H187" s="10" t="s">
        <v>77</v>
      </c>
      <c r="I187" s="10" t="s">
        <v>78</v>
      </c>
      <c r="J187" s="14" t="s">
        <v>79</v>
      </c>
      <c r="K187" s="15" t="s">
        <v>80</v>
      </c>
      <c r="L187" s="14" t="s">
        <v>81</v>
      </c>
      <c r="M187" s="72" t="s">
        <v>82</v>
      </c>
      <c r="N187" s="70">
        <v>1</v>
      </c>
      <c r="O187" s="70">
        <v>8</v>
      </c>
      <c r="P187" s="70">
        <v>3</v>
      </c>
      <c r="Q187" s="70">
        <v>0</v>
      </c>
      <c r="R187" s="70">
        <v>0</v>
      </c>
      <c r="S187" s="70">
        <v>9</v>
      </c>
      <c r="T187" s="70">
        <v>3</v>
      </c>
      <c r="U187" s="70">
        <v>1</v>
      </c>
      <c r="V187" s="70">
        <v>0</v>
      </c>
      <c r="W187" s="71" t="s">
        <v>83</v>
      </c>
      <c r="X187" s="72">
        <v>0</v>
      </c>
    </row>
    <row r="188" spans="1:24">
      <c r="A188" s="10" t="s">
        <v>495</v>
      </c>
      <c r="B188" s="10" t="s">
        <v>222</v>
      </c>
      <c r="C188" s="13" t="s">
        <v>496</v>
      </c>
      <c r="D188" s="10" t="s">
        <v>16</v>
      </c>
      <c r="E188" s="10" t="s">
        <v>224</v>
      </c>
      <c r="F188" s="13" t="s">
        <v>38</v>
      </c>
      <c r="G188" s="10" t="s">
        <v>8</v>
      </c>
      <c r="H188" s="10" t="s">
        <v>77</v>
      </c>
      <c r="I188" s="10" t="s">
        <v>78</v>
      </c>
      <c r="J188" s="14" t="s">
        <v>79</v>
      </c>
      <c r="K188" s="15" t="s">
        <v>86</v>
      </c>
      <c r="L188" s="14" t="s">
        <v>87</v>
      </c>
      <c r="M188" s="72" t="s">
        <v>82</v>
      </c>
      <c r="N188" s="70">
        <v>1</v>
      </c>
      <c r="O188" s="70">
        <v>0</v>
      </c>
      <c r="P188" s="70">
        <v>0</v>
      </c>
      <c r="Q188" s="70">
        <v>0</v>
      </c>
      <c r="R188" s="70">
        <v>0</v>
      </c>
      <c r="S188" s="70">
        <v>1</v>
      </c>
      <c r="T188" s="70">
        <v>1</v>
      </c>
      <c r="U188" s="70">
        <v>1</v>
      </c>
      <c r="V188" s="70">
        <v>0</v>
      </c>
      <c r="W188" s="71" t="s">
        <v>83</v>
      </c>
      <c r="X188" s="72">
        <v>0</v>
      </c>
    </row>
    <row r="189" spans="1:24">
      <c r="A189" s="10" t="s">
        <v>497</v>
      </c>
      <c r="B189" s="10" t="s">
        <v>222</v>
      </c>
      <c r="C189" s="13" t="s">
        <v>498</v>
      </c>
      <c r="D189" s="10" t="s">
        <v>16</v>
      </c>
      <c r="E189" s="10" t="s">
        <v>224</v>
      </c>
      <c r="F189" s="13" t="s">
        <v>42</v>
      </c>
      <c r="G189" s="10" t="s">
        <v>7</v>
      </c>
      <c r="H189" s="10" t="s">
        <v>179</v>
      </c>
      <c r="I189" s="10" t="s">
        <v>78</v>
      </c>
      <c r="J189" s="14" t="s">
        <v>79</v>
      </c>
      <c r="K189" s="15" t="s">
        <v>86</v>
      </c>
      <c r="L189" s="14" t="s">
        <v>87</v>
      </c>
      <c r="M189" s="72" t="s">
        <v>124</v>
      </c>
      <c r="N189" s="70">
        <v>0</v>
      </c>
      <c r="O189" s="70">
        <v>0</v>
      </c>
      <c r="P189" s="70">
        <v>0</v>
      </c>
      <c r="Q189" s="70">
        <v>0</v>
      </c>
      <c r="R189" s="70">
        <v>0</v>
      </c>
      <c r="S189" s="70">
        <v>0</v>
      </c>
      <c r="T189" s="70">
        <v>0</v>
      </c>
      <c r="U189" s="70">
        <v>0</v>
      </c>
      <c r="V189" s="70">
        <v>0</v>
      </c>
      <c r="W189" s="71" t="s">
        <v>83</v>
      </c>
      <c r="X189" s="72">
        <v>0</v>
      </c>
    </row>
    <row r="190" spans="1:24">
      <c r="A190" s="10" t="s">
        <v>499</v>
      </c>
      <c r="B190" s="10" t="s">
        <v>222</v>
      </c>
      <c r="C190" s="13" t="s">
        <v>500</v>
      </c>
      <c r="D190" s="10" t="s">
        <v>16</v>
      </c>
      <c r="E190" s="10" t="s">
        <v>224</v>
      </c>
      <c r="F190" s="13" t="s">
        <v>42</v>
      </c>
      <c r="G190" s="10" t="s">
        <v>7</v>
      </c>
      <c r="H190" s="10" t="s">
        <v>179</v>
      </c>
      <c r="I190" s="10" t="s">
        <v>78</v>
      </c>
      <c r="J190" s="14" t="s">
        <v>79</v>
      </c>
      <c r="K190" s="15" t="s">
        <v>86</v>
      </c>
      <c r="L190" s="14" t="s">
        <v>87</v>
      </c>
      <c r="M190" s="72" t="s">
        <v>124</v>
      </c>
      <c r="N190" s="70">
        <v>0</v>
      </c>
      <c r="O190" s="70">
        <v>0</v>
      </c>
      <c r="P190" s="70">
        <v>0</v>
      </c>
      <c r="Q190" s="70">
        <v>0</v>
      </c>
      <c r="R190" s="70">
        <v>0</v>
      </c>
      <c r="S190" s="70">
        <v>0</v>
      </c>
      <c r="T190" s="70">
        <v>0</v>
      </c>
      <c r="U190" s="70">
        <v>0</v>
      </c>
      <c r="V190" s="70">
        <v>0</v>
      </c>
      <c r="W190" s="71" t="s">
        <v>83</v>
      </c>
      <c r="X190" s="72">
        <v>0</v>
      </c>
    </row>
    <row r="191" spans="1:24">
      <c r="A191" s="10" t="s">
        <v>501</v>
      </c>
      <c r="B191" s="10" t="s">
        <v>222</v>
      </c>
      <c r="C191" s="13" t="s">
        <v>502</v>
      </c>
      <c r="D191" s="10" t="s">
        <v>16</v>
      </c>
      <c r="E191" s="10" t="s">
        <v>224</v>
      </c>
      <c r="F191" s="13" t="s">
        <v>42</v>
      </c>
      <c r="G191" s="10" t="s">
        <v>8</v>
      </c>
      <c r="H191" s="10" t="s">
        <v>77</v>
      </c>
      <c r="I191" s="10" t="s">
        <v>78</v>
      </c>
      <c r="J191" s="14" t="s">
        <v>79</v>
      </c>
      <c r="K191" s="15" t="s">
        <v>86</v>
      </c>
      <c r="L191" s="14" t="s">
        <v>87</v>
      </c>
      <c r="M191" s="72" t="s">
        <v>124</v>
      </c>
      <c r="N191" s="70">
        <v>0</v>
      </c>
      <c r="O191" s="70">
        <v>0</v>
      </c>
      <c r="P191" s="70">
        <v>0</v>
      </c>
      <c r="Q191" s="70">
        <v>0</v>
      </c>
      <c r="R191" s="70">
        <v>0</v>
      </c>
      <c r="S191" s="70">
        <v>0</v>
      </c>
      <c r="T191" s="70">
        <v>1</v>
      </c>
      <c r="U191" s="70">
        <v>1</v>
      </c>
      <c r="V191" s="70">
        <v>0</v>
      </c>
      <c r="W191" s="71" t="s">
        <v>83</v>
      </c>
      <c r="X191" s="73" t="s">
        <v>125</v>
      </c>
    </row>
    <row r="192" spans="1:24">
      <c r="A192" s="10" t="s">
        <v>503</v>
      </c>
      <c r="B192" s="10" t="s">
        <v>222</v>
      </c>
      <c r="C192" s="13" t="s">
        <v>504</v>
      </c>
      <c r="D192" s="10" t="s">
        <v>16</v>
      </c>
      <c r="E192" s="10" t="s">
        <v>224</v>
      </c>
      <c r="F192" s="13" t="s">
        <v>33</v>
      </c>
      <c r="G192" s="10" t="s">
        <v>7</v>
      </c>
      <c r="H192" s="10" t="s">
        <v>77</v>
      </c>
      <c r="I192" s="10" t="s">
        <v>78</v>
      </c>
      <c r="J192" s="14" t="s">
        <v>79</v>
      </c>
      <c r="K192" s="15" t="s">
        <v>86</v>
      </c>
      <c r="L192" s="14" t="s">
        <v>87</v>
      </c>
      <c r="M192" s="72" t="s">
        <v>82</v>
      </c>
      <c r="N192" s="70">
        <v>1</v>
      </c>
      <c r="O192" s="70">
        <v>0</v>
      </c>
      <c r="P192" s="70">
        <v>0</v>
      </c>
      <c r="Q192" s="70">
        <v>0</v>
      </c>
      <c r="R192" s="70">
        <v>0</v>
      </c>
      <c r="S192" s="70">
        <v>1</v>
      </c>
      <c r="T192" s="70">
        <v>0</v>
      </c>
      <c r="U192" s="70">
        <v>1</v>
      </c>
      <c r="V192" s="70">
        <v>0</v>
      </c>
      <c r="W192" s="71" t="s">
        <v>83</v>
      </c>
      <c r="X192" s="72">
        <v>0</v>
      </c>
    </row>
    <row r="193" spans="1:24">
      <c r="A193" s="10" t="s">
        <v>505</v>
      </c>
      <c r="B193" s="10" t="s">
        <v>222</v>
      </c>
      <c r="C193" s="13" t="s">
        <v>506</v>
      </c>
      <c r="D193" s="10" t="s">
        <v>16</v>
      </c>
      <c r="E193" s="10" t="s">
        <v>224</v>
      </c>
      <c r="F193" s="13" t="s">
        <v>33</v>
      </c>
      <c r="G193" s="10" t="s">
        <v>8</v>
      </c>
      <c r="H193" s="10" t="s">
        <v>90</v>
      </c>
      <c r="I193" s="10" t="s">
        <v>78</v>
      </c>
      <c r="J193" s="14" t="s">
        <v>79</v>
      </c>
      <c r="K193" s="15" t="s">
        <v>86</v>
      </c>
      <c r="L193" s="14" t="s">
        <v>87</v>
      </c>
      <c r="M193" s="72" t="s">
        <v>124</v>
      </c>
      <c r="N193" s="70">
        <v>0</v>
      </c>
      <c r="O193" s="70">
        <v>0</v>
      </c>
      <c r="P193" s="70">
        <v>0</v>
      </c>
      <c r="Q193" s="70">
        <v>0</v>
      </c>
      <c r="R193" s="70">
        <v>0</v>
      </c>
      <c r="S193" s="70">
        <v>0</v>
      </c>
      <c r="T193" s="70">
        <v>1</v>
      </c>
      <c r="U193" s="70">
        <v>0</v>
      </c>
      <c r="V193" s="70">
        <v>0</v>
      </c>
      <c r="W193" s="71" t="s">
        <v>83</v>
      </c>
      <c r="X193" s="73" t="s">
        <v>209</v>
      </c>
    </row>
    <row r="194" spans="1:24">
      <c r="A194" s="10" t="s">
        <v>507</v>
      </c>
      <c r="B194" s="10" t="s">
        <v>222</v>
      </c>
      <c r="C194" s="13" t="s">
        <v>508</v>
      </c>
      <c r="D194" s="10" t="s">
        <v>16</v>
      </c>
      <c r="E194" s="10" t="s">
        <v>224</v>
      </c>
      <c r="F194" s="13" t="s">
        <v>33</v>
      </c>
      <c r="G194" s="10" t="s">
        <v>8</v>
      </c>
      <c r="H194" s="10" t="s">
        <v>90</v>
      </c>
      <c r="I194" s="10" t="s">
        <v>78</v>
      </c>
      <c r="J194" s="14" t="s">
        <v>79</v>
      </c>
      <c r="K194" s="15" t="s">
        <v>80</v>
      </c>
      <c r="L194" s="14" t="s">
        <v>81</v>
      </c>
      <c r="M194" s="72" t="s">
        <v>124</v>
      </c>
      <c r="N194" s="70">
        <v>0</v>
      </c>
      <c r="O194" s="70">
        <v>0</v>
      </c>
      <c r="P194" s="70">
        <v>0</v>
      </c>
      <c r="Q194" s="70">
        <v>0</v>
      </c>
      <c r="R194" s="70">
        <v>0</v>
      </c>
      <c r="S194" s="70">
        <v>0</v>
      </c>
      <c r="T194" s="70">
        <v>1</v>
      </c>
      <c r="U194" s="70">
        <v>0</v>
      </c>
      <c r="V194" s="70">
        <v>0</v>
      </c>
      <c r="W194" s="71" t="s">
        <v>83</v>
      </c>
      <c r="X194" s="73" t="s">
        <v>209</v>
      </c>
    </row>
    <row r="195" spans="1:24">
      <c r="A195" s="10" t="s">
        <v>509</v>
      </c>
      <c r="B195" s="10" t="s">
        <v>222</v>
      </c>
      <c r="C195" s="13" t="s">
        <v>510</v>
      </c>
      <c r="D195" s="10" t="s">
        <v>16</v>
      </c>
      <c r="E195" s="10" t="s">
        <v>224</v>
      </c>
      <c r="F195" s="13" t="s">
        <v>44</v>
      </c>
      <c r="G195" s="10" t="s">
        <v>7</v>
      </c>
      <c r="H195" s="10" t="s">
        <v>77</v>
      </c>
      <c r="I195" s="10" t="s">
        <v>78</v>
      </c>
      <c r="J195" s="14" t="s">
        <v>79</v>
      </c>
      <c r="K195" s="15" t="s">
        <v>86</v>
      </c>
      <c r="L195" s="14" t="s">
        <v>87</v>
      </c>
      <c r="M195" s="72" t="s">
        <v>82</v>
      </c>
      <c r="N195" s="70">
        <v>1</v>
      </c>
      <c r="O195" s="70">
        <v>4</v>
      </c>
      <c r="P195" s="70">
        <v>1</v>
      </c>
      <c r="Q195" s="70">
        <v>2</v>
      </c>
      <c r="R195" s="70">
        <v>0</v>
      </c>
      <c r="S195" s="70">
        <v>5</v>
      </c>
      <c r="T195" s="70">
        <v>1</v>
      </c>
      <c r="U195" s="70">
        <v>3</v>
      </c>
      <c r="V195" s="70">
        <v>0</v>
      </c>
      <c r="W195" s="71" t="s">
        <v>83</v>
      </c>
      <c r="X195" s="72">
        <v>0</v>
      </c>
    </row>
    <row r="196" spans="1:24">
      <c r="A196" s="10" t="s">
        <v>511</v>
      </c>
      <c r="B196" s="10" t="s">
        <v>222</v>
      </c>
      <c r="C196" s="13" t="s">
        <v>512</v>
      </c>
      <c r="D196" s="10" t="s">
        <v>16</v>
      </c>
      <c r="E196" s="10" t="s">
        <v>224</v>
      </c>
      <c r="F196" s="13" t="s">
        <v>41</v>
      </c>
      <c r="G196" s="10" t="s">
        <v>7</v>
      </c>
      <c r="H196" s="10" t="s">
        <v>179</v>
      </c>
      <c r="I196" s="10" t="s">
        <v>78</v>
      </c>
      <c r="J196" s="14" t="s">
        <v>79</v>
      </c>
      <c r="K196" s="15" t="s">
        <v>86</v>
      </c>
      <c r="L196" s="14" t="s">
        <v>87</v>
      </c>
      <c r="M196" s="72" t="s">
        <v>124</v>
      </c>
      <c r="N196" s="70">
        <v>0</v>
      </c>
      <c r="O196" s="70">
        <v>0</v>
      </c>
      <c r="P196" s="70">
        <v>0</v>
      </c>
      <c r="Q196" s="70">
        <v>0</v>
      </c>
      <c r="R196" s="70">
        <v>0</v>
      </c>
      <c r="S196" s="70">
        <v>0</v>
      </c>
      <c r="T196" s="70">
        <v>0</v>
      </c>
      <c r="U196" s="70">
        <v>0</v>
      </c>
      <c r="V196" s="70">
        <v>0</v>
      </c>
      <c r="W196" s="71" t="s">
        <v>83</v>
      </c>
      <c r="X196" s="72">
        <v>0</v>
      </c>
    </row>
    <row r="197" spans="1:24">
      <c r="A197" s="10" t="s">
        <v>513</v>
      </c>
      <c r="B197" s="10" t="s">
        <v>222</v>
      </c>
      <c r="C197" s="13" t="s">
        <v>514</v>
      </c>
      <c r="D197" s="10" t="s">
        <v>16</v>
      </c>
      <c r="E197" s="10" t="s">
        <v>224</v>
      </c>
      <c r="F197" s="13" t="s">
        <v>42</v>
      </c>
      <c r="G197" s="10" t="s">
        <v>8</v>
      </c>
      <c r="H197" s="10" t="s">
        <v>90</v>
      </c>
      <c r="I197" s="10" t="s">
        <v>78</v>
      </c>
      <c r="J197" s="14" t="s">
        <v>79</v>
      </c>
      <c r="K197" s="15" t="s">
        <v>86</v>
      </c>
      <c r="L197" s="14" t="s">
        <v>87</v>
      </c>
      <c r="M197" s="72" t="s">
        <v>124</v>
      </c>
      <c r="N197" s="70">
        <v>0</v>
      </c>
      <c r="O197" s="70">
        <v>0</v>
      </c>
      <c r="P197" s="70">
        <v>0</v>
      </c>
      <c r="Q197" s="70">
        <v>0</v>
      </c>
      <c r="R197" s="70">
        <v>0</v>
      </c>
      <c r="S197" s="70">
        <v>0</v>
      </c>
      <c r="T197" s="70">
        <v>1</v>
      </c>
      <c r="U197" s="70">
        <v>0</v>
      </c>
      <c r="V197" s="70">
        <v>0</v>
      </c>
      <c r="W197" s="71" t="s">
        <v>83</v>
      </c>
      <c r="X197" s="73" t="s">
        <v>209</v>
      </c>
    </row>
    <row r="198" spans="1:24">
      <c r="A198" s="10" t="s">
        <v>515</v>
      </c>
      <c r="B198" s="10" t="s">
        <v>222</v>
      </c>
      <c r="C198" s="13" t="s">
        <v>516</v>
      </c>
      <c r="D198" s="10" t="s">
        <v>16</v>
      </c>
      <c r="E198" s="10" t="s">
        <v>224</v>
      </c>
      <c r="F198" s="13" t="s">
        <v>30</v>
      </c>
      <c r="G198" s="10" t="s">
        <v>7</v>
      </c>
      <c r="H198" s="10" t="s">
        <v>179</v>
      </c>
      <c r="I198" s="10" t="s">
        <v>78</v>
      </c>
      <c r="J198" s="14" t="s">
        <v>79</v>
      </c>
      <c r="K198" s="15" t="s">
        <v>80</v>
      </c>
      <c r="L198" s="14" t="s">
        <v>81</v>
      </c>
      <c r="M198" s="72" t="s">
        <v>82</v>
      </c>
      <c r="N198" s="70">
        <v>1</v>
      </c>
      <c r="O198" s="70">
        <v>1</v>
      </c>
      <c r="P198" s="70">
        <v>0</v>
      </c>
      <c r="Q198" s="70">
        <v>1</v>
      </c>
      <c r="R198" s="70">
        <v>0</v>
      </c>
      <c r="S198" s="70">
        <v>2</v>
      </c>
      <c r="T198" s="70">
        <v>0</v>
      </c>
      <c r="U198" s="70">
        <v>1</v>
      </c>
      <c r="V198" s="70">
        <v>0</v>
      </c>
      <c r="W198" s="71" t="s">
        <v>83</v>
      </c>
      <c r="X198" s="72">
        <v>0</v>
      </c>
    </row>
    <row r="199" spans="1:24">
      <c r="A199" s="10" t="s">
        <v>517</v>
      </c>
      <c r="B199" s="10" t="s">
        <v>222</v>
      </c>
      <c r="C199" s="13" t="s">
        <v>518</v>
      </c>
      <c r="D199" s="10" t="s">
        <v>16</v>
      </c>
      <c r="E199" s="10" t="s">
        <v>224</v>
      </c>
      <c r="F199" s="13" t="s">
        <v>34</v>
      </c>
      <c r="G199" s="10" t="s">
        <v>8</v>
      </c>
      <c r="H199" s="10" t="s">
        <v>179</v>
      </c>
      <c r="I199" s="10" t="s">
        <v>78</v>
      </c>
      <c r="J199" s="14" t="s">
        <v>79</v>
      </c>
      <c r="K199" s="15" t="s">
        <v>86</v>
      </c>
      <c r="L199" s="14" t="s">
        <v>87</v>
      </c>
      <c r="M199" s="72" t="s">
        <v>124</v>
      </c>
      <c r="N199" s="70">
        <v>0</v>
      </c>
      <c r="O199" s="70">
        <v>0</v>
      </c>
      <c r="P199" s="70">
        <v>0</v>
      </c>
      <c r="Q199" s="70">
        <v>0</v>
      </c>
      <c r="R199" s="70">
        <v>0</v>
      </c>
      <c r="S199" s="70">
        <v>0</v>
      </c>
      <c r="T199" s="70">
        <v>1</v>
      </c>
      <c r="U199" s="70">
        <v>0</v>
      </c>
      <c r="V199" s="70">
        <v>0</v>
      </c>
      <c r="W199" s="71" t="s">
        <v>83</v>
      </c>
      <c r="X199" s="73" t="s">
        <v>209</v>
      </c>
    </row>
    <row r="200" spans="1:24">
      <c r="A200" s="10" t="s">
        <v>519</v>
      </c>
      <c r="B200" s="10" t="s">
        <v>222</v>
      </c>
      <c r="C200" s="13" t="s">
        <v>520</v>
      </c>
      <c r="D200" s="10" t="s">
        <v>16</v>
      </c>
      <c r="E200" s="10" t="s">
        <v>224</v>
      </c>
      <c r="F200" s="13" t="s">
        <v>31</v>
      </c>
      <c r="G200" s="10" t="s">
        <v>7</v>
      </c>
      <c r="H200" s="10" t="s">
        <v>77</v>
      </c>
      <c r="I200" s="10" t="s">
        <v>78</v>
      </c>
      <c r="J200" s="14" t="s">
        <v>79</v>
      </c>
      <c r="K200" s="15" t="s">
        <v>86</v>
      </c>
      <c r="L200" s="14" t="s">
        <v>87</v>
      </c>
      <c r="M200" s="72" t="s">
        <v>82</v>
      </c>
      <c r="N200" s="70">
        <v>1</v>
      </c>
      <c r="O200" s="70">
        <v>3</v>
      </c>
      <c r="P200" s="70">
        <v>2</v>
      </c>
      <c r="Q200" s="70">
        <v>2</v>
      </c>
      <c r="R200" s="70">
        <v>0</v>
      </c>
      <c r="S200" s="70">
        <v>4</v>
      </c>
      <c r="T200" s="70">
        <v>2</v>
      </c>
      <c r="U200" s="70">
        <v>3</v>
      </c>
      <c r="V200" s="70">
        <v>0</v>
      </c>
      <c r="W200" s="71" t="s">
        <v>83</v>
      </c>
      <c r="X200" s="72">
        <v>0</v>
      </c>
    </row>
    <row r="201" spans="1:24">
      <c r="A201" s="10" t="s">
        <v>521</v>
      </c>
      <c r="B201" s="10" t="s">
        <v>222</v>
      </c>
      <c r="C201" s="13" t="s">
        <v>522</v>
      </c>
      <c r="D201" s="10" t="s">
        <v>16</v>
      </c>
      <c r="E201" s="10" t="s">
        <v>224</v>
      </c>
      <c r="F201" s="13" t="s">
        <v>42</v>
      </c>
      <c r="G201" s="10" t="s">
        <v>7</v>
      </c>
      <c r="H201" s="10" t="s">
        <v>77</v>
      </c>
      <c r="I201" s="10" t="s">
        <v>78</v>
      </c>
      <c r="J201" s="14" t="s">
        <v>79</v>
      </c>
      <c r="K201" s="15" t="s">
        <v>86</v>
      </c>
      <c r="L201" s="14" t="s">
        <v>87</v>
      </c>
      <c r="M201" s="72" t="s">
        <v>124</v>
      </c>
      <c r="N201" s="70">
        <v>0</v>
      </c>
      <c r="O201" s="70">
        <v>5</v>
      </c>
      <c r="P201" s="70">
        <v>0</v>
      </c>
      <c r="Q201" s="70">
        <v>1</v>
      </c>
      <c r="R201" s="70">
        <v>0</v>
      </c>
      <c r="S201" s="70">
        <v>5</v>
      </c>
      <c r="T201" s="70">
        <v>0</v>
      </c>
      <c r="U201" s="70">
        <v>2</v>
      </c>
      <c r="V201" s="70">
        <v>0</v>
      </c>
      <c r="W201" s="71" t="s">
        <v>83</v>
      </c>
      <c r="X201" s="72">
        <v>0</v>
      </c>
    </row>
    <row r="202" spans="1:24">
      <c r="A202" s="10" t="s">
        <v>523</v>
      </c>
      <c r="B202" s="10" t="s">
        <v>222</v>
      </c>
      <c r="C202" s="13" t="s">
        <v>524</v>
      </c>
      <c r="D202" s="10" t="s">
        <v>16</v>
      </c>
      <c r="E202" s="10" t="s">
        <v>224</v>
      </c>
      <c r="F202" s="13" t="s">
        <v>42</v>
      </c>
      <c r="G202" s="10" t="s">
        <v>8</v>
      </c>
      <c r="H202" s="10" t="s">
        <v>90</v>
      </c>
      <c r="I202" s="10" t="s">
        <v>78</v>
      </c>
      <c r="J202" s="14" t="s">
        <v>79</v>
      </c>
      <c r="K202" s="15" t="s">
        <v>86</v>
      </c>
      <c r="L202" s="14" t="s">
        <v>87</v>
      </c>
      <c r="M202" s="72" t="s">
        <v>124</v>
      </c>
      <c r="N202" s="70">
        <v>0</v>
      </c>
      <c r="O202" s="70">
        <v>0</v>
      </c>
      <c r="P202" s="70">
        <v>0</v>
      </c>
      <c r="Q202" s="70">
        <v>0</v>
      </c>
      <c r="R202" s="70">
        <v>0</v>
      </c>
      <c r="S202" s="70">
        <v>0</v>
      </c>
      <c r="T202" s="70">
        <v>1</v>
      </c>
      <c r="U202" s="70">
        <v>0</v>
      </c>
      <c r="V202" s="70">
        <v>0</v>
      </c>
      <c r="W202" s="71" t="s">
        <v>83</v>
      </c>
      <c r="X202" s="73" t="s">
        <v>209</v>
      </c>
    </row>
    <row r="203" spans="1:24">
      <c r="A203" s="10" t="s">
        <v>525</v>
      </c>
      <c r="B203" s="10" t="s">
        <v>222</v>
      </c>
      <c r="C203" s="13" t="s">
        <v>526</v>
      </c>
      <c r="D203" s="10" t="s">
        <v>16</v>
      </c>
      <c r="E203" s="10" t="s">
        <v>224</v>
      </c>
      <c r="F203" s="13" t="s">
        <v>31</v>
      </c>
      <c r="G203" s="10" t="s">
        <v>7</v>
      </c>
      <c r="H203" s="10" t="s">
        <v>77</v>
      </c>
      <c r="I203" s="10" t="s">
        <v>78</v>
      </c>
      <c r="J203" s="14" t="s">
        <v>79</v>
      </c>
      <c r="K203" s="15" t="s">
        <v>86</v>
      </c>
      <c r="L203" s="14" t="s">
        <v>87</v>
      </c>
      <c r="M203" s="72" t="s">
        <v>82</v>
      </c>
      <c r="N203" s="70">
        <v>1</v>
      </c>
      <c r="O203" s="70">
        <v>15</v>
      </c>
      <c r="P203" s="70">
        <v>4</v>
      </c>
      <c r="Q203" s="70">
        <v>8</v>
      </c>
      <c r="R203" s="70">
        <v>0</v>
      </c>
      <c r="S203" s="70">
        <v>16</v>
      </c>
      <c r="T203" s="70">
        <v>4</v>
      </c>
      <c r="U203" s="70">
        <v>9</v>
      </c>
      <c r="V203" s="70">
        <v>0</v>
      </c>
      <c r="W203" s="71" t="s">
        <v>83</v>
      </c>
      <c r="X203" s="72">
        <v>0</v>
      </c>
    </row>
    <row r="204" spans="1:24">
      <c r="A204" s="10" t="s">
        <v>527</v>
      </c>
      <c r="B204" s="10" t="s">
        <v>222</v>
      </c>
      <c r="C204" s="13" t="s">
        <v>528</v>
      </c>
      <c r="D204" s="10" t="s">
        <v>16</v>
      </c>
      <c r="E204" s="10" t="s">
        <v>224</v>
      </c>
      <c r="F204" s="13" t="s">
        <v>40</v>
      </c>
      <c r="G204" s="10" t="s">
        <v>8</v>
      </c>
      <c r="H204" s="10" t="s">
        <v>90</v>
      </c>
      <c r="I204" s="10" t="s">
        <v>78</v>
      </c>
      <c r="J204" s="14" t="s">
        <v>79</v>
      </c>
      <c r="K204" s="15" t="s">
        <v>86</v>
      </c>
      <c r="L204" s="14" t="s">
        <v>87</v>
      </c>
      <c r="M204" s="72" t="s">
        <v>124</v>
      </c>
      <c r="N204" s="70">
        <v>0</v>
      </c>
      <c r="O204" s="70">
        <v>4</v>
      </c>
      <c r="P204" s="70">
        <v>4</v>
      </c>
      <c r="Q204" s="70">
        <v>1</v>
      </c>
      <c r="R204" s="70">
        <v>0</v>
      </c>
      <c r="S204" s="70">
        <v>4</v>
      </c>
      <c r="T204" s="70">
        <v>5</v>
      </c>
      <c r="U204" s="70">
        <v>1</v>
      </c>
      <c r="V204" s="70">
        <v>0</v>
      </c>
      <c r="W204" s="71" t="s">
        <v>83</v>
      </c>
      <c r="X204" s="73" t="s">
        <v>209</v>
      </c>
    </row>
    <row r="205" spans="1:24">
      <c r="A205" s="10" t="s">
        <v>529</v>
      </c>
      <c r="B205" s="10" t="s">
        <v>222</v>
      </c>
      <c r="C205" s="13" t="s">
        <v>530</v>
      </c>
      <c r="D205" s="10" t="s">
        <v>16</v>
      </c>
      <c r="E205" s="10" t="s">
        <v>224</v>
      </c>
      <c r="F205" s="13" t="s">
        <v>33</v>
      </c>
      <c r="G205" s="10" t="s">
        <v>8</v>
      </c>
      <c r="H205" s="10" t="s">
        <v>77</v>
      </c>
      <c r="I205" s="10" t="s">
        <v>78</v>
      </c>
      <c r="J205" s="14" t="s">
        <v>79</v>
      </c>
      <c r="K205" s="15" t="s">
        <v>86</v>
      </c>
      <c r="L205" s="14" t="s">
        <v>87</v>
      </c>
      <c r="M205" s="72" t="s">
        <v>82</v>
      </c>
      <c r="N205" s="70">
        <v>1</v>
      </c>
      <c r="O205" s="70">
        <v>0</v>
      </c>
      <c r="P205" s="70">
        <v>0</v>
      </c>
      <c r="Q205" s="70">
        <v>0</v>
      </c>
      <c r="R205" s="70">
        <v>0</v>
      </c>
      <c r="S205" s="70">
        <v>1</v>
      </c>
      <c r="T205" s="70">
        <v>1</v>
      </c>
      <c r="U205" s="70">
        <v>1</v>
      </c>
      <c r="V205" s="70">
        <v>0</v>
      </c>
      <c r="W205" s="71" t="s">
        <v>83</v>
      </c>
      <c r="X205" s="72">
        <v>0</v>
      </c>
    </row>
    <row r="206" spans="1:24">
      <c r="A206" s="10" t="s">
        <v>531</v>
      </c>
      <c r="B206" s="10" t="s">
        <v>222</v>
      </c>
      <c r="C206" s="13" t="s">
        <v>532</v>
      </c>
      <c r="D206" s="10" t="s">
        <v>16</v>
      </c>
      <c r="E206" s="10" t="s">
        <v>224</v>
      </c>
      <c r="F206" s="13" t="s">
        <v>43</v>
      </c>
      <c r="G206" s="10" t="s">
        <v>7</v>
      </c>
      <c r="H206" s="10" t="s">
        <v>90</v>
      </c>
      <c r="I206" s="10" t="s">
        <v>78</v>
      </c>
      <c r="J206" s="14" t="s">
        <v>79</v>
      </c>
      <c r="K206" s="15" t="s">
        <v>86</v>
      </c>
      <c r="L206" s="14" t="s">
        <v>87</v>
      </c>
      <c r="M206" s="72" t="s">
        <v>82</v>
      </c>
      <c r="N206" s="70">
        <v>1</v>
      </c>
      <c r="O206" s="70">
        <v>0</v>
      </c>
      <c r="P206" s="70">
        <v>0</v>
      </c>
      <c r="Q206" s="70">
        <v>0</v>
      </c>
      <c r="R206" s="70">
        <v>0</v>
      </c>
      <c r="S206" s="70">
        <v>1</v>
      </c>
      <c r="T206" s="70">
        <v>0</v>
      </c>
      <c r="U206" s="70">
        <v>0</v>
      </c>
      <c r="V206" s="70">
        <v>0</v>
      </c>
      <c r="W206" s="71" t="s">
        <v>83</v>
      </c>
      <c r="X206" s="72">
        <v>0</v>
      </c>
    </row>
    <row r="207" spans="1:24">
      <c r="A207" s="10" t="s">
        <v>533</v>
      </c>
      <c r="B207" s="10" t="s">
        <v>222</v>
      </c>
      <c r="C207" s="13" t="s">
        <v>534</v>
      </c>
      <c r="D207" s="10" t="s">
        <v>16</v>
      </c>
      <c r="E207" s="10" t="s">
        <v>224</v>
      </c>
      <c r="F207" s="13" t="s">
        <v>33</v>
      </c>
      <c r="G207" s="10" t="s">
        <v>8</v>
      </c>
      <c r="H207" s="10" t="s">
        <v>77</v>
      </c>
      <c r="I207" s="10" t="s">
        <v>78</v>
      </c>
      <c r="J207" s="14" t="s">
        <v>79</v>
      </c>
      <c r="K207" s="16" t="s">
        <v>535</v>
      </c>
      <c r="L207" s="14" t="s">
        <v>536</v>
      </c>
      <c r="M207" s="72" t="s">
        <v>124</v>
      </c>
      <c r="N207" s="70">
        <v>0</v>
      </c>
      <c r="O207" s="70">
        <v>0</v>
      </c>
      <c r="P207" s="70">
        <v>0</v>
      </c>
      <c r="Q207" s="70">
        <v>0</v>
      </c>
      <c r="R207" s="70">
        <v>0</v>
      </c>
      <c r="S207" s="70">
        <v>0</v>
      </c>
      <c r="T207" s="70">
        <v>1</v>
      </c>
      <c r="U207" s="70">
        <v>1</v>
      </c>
      <c r="V207" s="70">
        <v>0</v>
      </c>
      <c r="W207" s="71" t="s">
        <v>83</v>
      </c>
      <c r="X207" s="73" t="s">
        <v>125</v>
      </c>
    </row>
    <row r="208" spans="1:24">
      <c r="A208" s="10" t="s">
        <v>537</v>
      </c>
      <c r="B208" s="10" t="s">
        <v>222</v>
      </c>
      <c r="C208" s="13" t="s">
        <v>538</v>
      </c>
      <c r="D208" s="10" t="s">
        <v>16</v>
      </c>
      <c r="E208" s="10" t="s">
        <v>224</v>
      </c>
      <c r="F208" s="13" t="s">
        <v>33</v>
      </c>
      <c r="G208" s="10" t="s">
        <v>7</v>
      </c>
      <c r="H208" s="10" t="s">
        <v>77</v>
      </c>
      <c r="I208" s="10" t="s">
        <v>78</v>
      </c>
      <c r="J208" s="14" t="s">
        <v>79</v>
      </c>
      <c r="K208" s="15" t="s">
        <v>86</v>
      </c>
      <c r="L208" s="14" t="s">
        <v>87</v>
      </c>
      <c r="M208" s="72" t="s">
        <v>82</v>
      </c>
      <c r="N208" s="70">
        <v>1</v>
      </c>
      <c r="O208" s="70">
        <v>5</v>
      </c>
      <c r="P208" s="70">
        <v>1</v>
      </c>
      <c r="Q208" s="70">
        <v>4</v>
      </c>
      <c r="R208" s="70">
        <v>0</v>
      </c>
      <c r="S208" s="70">
        <v>6</v>
      </c>
      <c r="T208" s="70">
        <v>1</v>
      </c>
      <c r="U208" s="70">
        <v>5</v>
      </c>
      <c r="V208" s="70">
        <v>0</v>
      </c>
      <c r="W208" s="71" t="s">
        <v>83</v>
      </c>
      <c r="X208" s="72">
        <v>0</v>
      </c>
    </row>
    <row r="209" spans="1:24">
      <c r="A209" s="10" t="s">
        <v>539</v>
      </c>
      <c r="B209" s="10" t="s">
        <v>222</v>
      </c>
      <c r="C209" s="13" t="s">
        <v>540</v>
      </c>
      <c r="D209" s="10" t="s">
        <v>16</v>
      </c>
      <c r="E209" s="10" t="s">
        <v>224</v>
      </c>
      <c r="F209" s="13" t="s">
        <v>42</v>
      </c>
      <c r="G209" s="10" t="s">
        <v>8</v>
      </c>
      <c r="H209" s="10" t="s">
        <v>179</v>
      </c>
      <c r="I209" s="10" t="s">
        <v>78</v>
      </c>
      <c r="J209" s="14" t="s">
        <v>79</v>
      </c>
      <c r="K209" s="15" t="s">
        <v>86</v>
      </c>
      <c r="L209" s="14" t="s">
        <v>87</v>
      </c>
      <c r="M209" s="72" t="s">
        <v>124</v>
      </c>
      <c r="N209" s="70">
        <v>0</v>
      </c>
      <c r="O209" s="70">
        <v>0</v>
      </c>
      <c r="P209" s="70">
        <v>0</v>
      </c>
      <c r="Q209" s="70">
        <v>0</v>
      </c>
      <c r="R209" s="70">
        <v>0</v>
      </c>
      <c r="S209" s="70">
        <v>0</v>
      </c>
      <c r="T209" s="70">
        <v>1</v>
      </c>
      <c r="U209" s="70">
        <v>0</v>
      </c>
      <c r="V209" s="70">
        <v>0</v>
      </c>
      <c r="W209" s="71" t="s">
        <v>83</v>
      </c>
      <c r="X209" s="73" t="s">
        <v>209</v>
      </c>
    </row>
    <row r="210" spans="1:24">
      <c r="A210" s="10" t="s">
        <v>541</v>
      </c>
      <c r="B210" s="10" t="s">
        <v>222</v>
      </c>
      <c r="C210" s="13" t="s">
        <v>542</v>
      </c>
      <c r="D210" s="10" t="s">
        <v>16</v>
      </c>
      <c r="E210" s="10" t="s">
        <v>224</v>
      </c>
      <c r="F210" s="13" t="s">
        <v>33</v>
      </c>
      <c r="G210" s="10" t="s">
        <v>8</v>
      </c>
      <c r="H210" s="10" t="s">
        <v>77</v>
      </c>
      <c r="I210" s="10" t="s">
        <v>78</v>
      </c>
      <c r="J210" s="14" t="s">
        <v>79</v>
      </c>
      <c r="K210" s="15" t="s">
        <v>86</v>
      </c>
      <c r="L210" s="14" t="s">
        <v>87</v>
      </c>
      <c r="M210" s="72" t="s">
        <v>82</v>
      </c>
      <c r="N210" s="70">
        <v>1</v>
      </c>
      <c r="O210" s="70">
        <v>3</v>
      </c>
      <c r="P210" s="70">
        <v>2</v>
      </c>
      <c r="Q210" s="70">
        <v>0</v>
      </c>
      <c r="R210" s="70">
        <v>0</v>
      </c>
      <c r="S210" s="70">
        <v>4</v>
      </c>
      <c r="T210" s="70">
        <v>3</v>
      </c>
      <c r="U210" s="70">
        <v>1</v>
      </c>
      <c r="V210" s="70">
        <v>0</v>
      </c>
      <c r="W210" s="71" t="s">
        <v>83</v>
      </c>
      <c r="X210" s="72">
        <v>0</v>
      </c>
    </row>
    <row r="211" spans="1:24">
      <c r="A211" s="10" t="s">
        <v>543</v>
      </c>
      <c r="B211" s="10" t="s">
        <v>222</v>
      </c>
      <c r="C211" s="13" t="s">
        <v>544</v>
      </c>
      <c r="D211" s="10" t="s">
        <v>16</v>
      </c>
      <c r="E211" s="10" t="s">
        <v>224</v>
      </c>
      <c r="F211" s="13" t="s">
        <v>33</v>
      </c>
      <c r="G211" s="10" t="s">
        <v>8</v>
      </c>
      <c r="H211" s="10" t="s">
        <v>77</v>
      </c>
      <c r="I211" s="10" t="s">
        <v>78</v>
      </c>
      <c r="J211" s="14" t="s">
        <v>79</v>
      </c>
      <c r="K211" s="15" t="s">
        <v>86</v>
      </c>
      <c r="L211" s="14" t="s">
        <v>87</v>
      </c>
      <c r="M211" s="72" t="s">
        <v>82</v>
      </c>
      <c r="N211" s="70">
        <v>1</v>
      </c>
      <c r="O211" s="70">
        <v>0</v>
      </c>
      <c r="P211" s="70">
        <v>0</v>
      </c>
      <c r="Q211" s="70">
        <v>0</v>
      </c>
      <c r="R211" s="70">
        <v>0</v>
      </c>
      <c r="S211" s="70">
        <v>1</v>
      </c>
      <c r="T211" s="70">
        <v>1</v>
      </c>
      <c r="U211" s="70">
        <v>1</v>
      </c>
      <c r="V211" s="70">
        <v>0</v>
      </c>
      <c r="W211" s="71" t="s">
        <v>83</v>
      </c>
      <c r="X211" s="72">
        <v>0</v>
      </c>
    </row>
    <row r="212" spans="1:24">
      <c r="A212" s="10" t="s">
        <v>545</v>
      </c>
      <c r="B212" s="10" t="s">
        <v>222</v>
      </c>
      <c r="C212" s="13" t="s">
        <v>546</v>
      </c>
      <c r="D212" s="10" t="s">
        <v>16</v>
      </c>
      <c r="E212" s="10" t="s">
        <v>224</v>
      </c>
      <c r="F212" s="13" t="s">
        <v>40</v>
      </c>
      <c r="G212" s="10" t="s">
        <v>8</v>
      </c>
      <c r="H212" s="10" t="s">
        <v>77</v>
      </c>
      <c r="I212" s="10" t="s">
        <v>78</v>
      </c>
      <c r="J212" s="14" t="s">
        <v>79</v>
      </c>
      <c r="K212" s="15" t="s">
        <v>86</v>
      </c>
      <c r="L212" s="14" t="s">
        <v>87</v>
      </c>
      <c r="M212" s="72" t="s">
        <v>82</v>
      </c>
      <c r="N212" s="70">
        <v>1</v>
      </c>
      <c r="O212" s="70">
        <v>12</v>
      </c>
      <c r="P212" s="70">
        <v>11</v>
      </c>
      <c r="Q212" s="70">
        <v>1</v>
      </c>
      <c r="R212" s="70">
        <v>0</v>
      </c>
      <c r="S212" s="70">
        <v>13</v>
      </c>
      <c r="T212" s="70">
        <v>12</v>
      </c>
      <c r="U212" s="70">
        <v>2</v>
      </c>
      <c r="V212" s="70">
        <v>0</v>
      </c>
      <c r="W212" s="71" t="s">
        <v>83</v>
      </c>
      <c r="X212" s="72">
        <v>0</v>
      </c>
    </row>
    <row r="213" spans="1:24">
      <c r="A213" s="10" t="s">
        <v>547</v>
      </c>
      <c r="B213" s="10" t="s">
        <v>222</v>
      </c>
      <c r="C213" s="13" t="s">
        <v>548</v>
      </c>
      <c r="D213" s="10" t="s">
        <v>16</v>
      </c>
      <c r="E213" s="10" t="s">
        <v>224</v>
      </c>
      <c r="F213" s="13" t="s">
        <v>34</v>
      </c>
      <c r="G213" s="10" t="s">
        <v>7</v>
      </c>
      <c r="H213" s="10" t="s">
        <v>179</v>
      </c>
      <c r="I213" s="10" t="s">
        <v>78</v>
      </c>
      <c r="J213" s="14" t="s">
        <v>79</v>
      </c>
      <c r="K213" s="15" t="s">
        <v>86</v>
      </c>
      <c r="L213" s="14" t="s">
        <v>87</v>
      </c>
      <c r="M213" s="72" t="s">
        <v>124</v>
      </c>
      <c r="N213" s="70">
        <v>0</v>
      </c>
      <c r="O213" s="70">
        <v>0</v>
      </c>
      <c r="P213" s="70">
        <v>0</v>
      </c>
      <c r="Q213" s="70">
        <v>0</v>
      </c>
      <c r="R213" s="70">
        <v>0</v>
      </c>
      <c r="S213" s="70">
        <v>0</v>
      </c>
      <c r="T213" s="70">
        <v>0</v>
      </c>
      <c r="U213" s="70">
        <v>0</v>
      </c>
      <c r="V213" s="70">
        <v>0</v>
      </c>
      <c r="W213" s="71" t="s">
        <v>83</v>
      </c>
      <c r="X213" s="72">
        <v>0</v>
      </c>
    </row>
    <row r="214" spans="1:24">
      <c r="A214" s="10" t="s">
        <v>549</v>
      </c>
      <c r="B214" s="10" t="s">
        <v>222</v>
      </c>
      <c r="C214" s="13" t="s">
        <v>550</v>
      </c>
      <c r="D214" s="10" t="s">
        <v>16</v>
      </c>
      <c r="E214" s="10" t="s">
        <v>224</v>
      </c>
      <c r="F214" s="13" t="s">
        <v>42</v>
      </c>
      <c r="G214" s="10" t="s">
        <v>7</v>
      </c>
      <c r="H214" s="10" t="s">
        <v>179</v>
      </c>
      <c r="I214" s="10" t="s">
        <v>78</v>
      </c>
      <c r="J214" s="14" t="s">
        <v>79</v>
      </c>
      <c r="K214" s="15" t="s">
        <v>86</v>
      </c>
      <c r="L214" s="14" t="s">
        <v>87</v>
      </c>
      <c r="M214" s="72" t="s">
        <v>82</v>
      </c>
      <c r="N214" s="70">
        <v>1</v>
      </c>
      <c r="O214" s="70">
        <v>0</v>
      </c>
      <c r="P214" s="70">
        <v>0</v>
      </c>
      <c r="Q214" s="70">
        <v>0</v>
      </c>
      <c r="R214" s="70">
        <v>0</v>
      </c>
      <c r="S214" s="70">
        <v>1</v>
      </c>
      <c r="T214" s="70">
        <v>0</v>
      </c>
      <c r="U214" s="70">
        <v>0</v>
      </c>
      <c r="V214" s="70">
        <v>0</v>
      </c>
      <c r="W214" s="71" t="s">
        <v>83</v>
      </c>
      <c r="X214" s="72">
        <v>0</v>
      </c>
    </row>
    <row r="215" spans="1:24">
      <c r="A215" s="10" t="s">
        <v>551</v>
      </c>
      <c r="B215" s="10" t="s">
        <v>222</v>
      </c>
      <c r="C215" s="13" t="s">
        <v>552</v>
      </c>
      <c r="D215" s="10" t="s">
        <v>16</v>
      </c>
      <c r="E215" s="10" t="s">
        <v>224</v>
      </c>
      <c r="F215" s="13" t="s">
        <v>40</v>
      </c>
      <c r="G215" s="10" t="s">
        <v>7</v>
      </c>
      <c r="H215" s="10" t="s">
        <v>179</v>
      </c>
      <c r="I215" s="10" t="s">
        <v>78</v>
      </c>
      <c r="J215" s="14" t="s">
        <v>79</v>
      </c>
      <c r="K215" s="15" t="s">
        <v>86</v>
      </c>
      <c r="L215" s="14" t="s">
        <v>87</v>
      </c>
      <c r="M215" s="72" t="s">
        <v>124</v>
      </c>
      <c r="N215" s="70">
        <v>0</v>
      </c>
      <c r="O215" s="70">
        <v>0</v>
      </c>
      <c r="P215" s="70">
        <v>0</v>
      </c>
      <c r="Q215" s="70">
        <v>0</v>
      </c>
      <c r="R215" s="70">
        <v>0</v>
      </c>
      <c r="S215" s="70">
        <v>0</v>
      </c>
      <c r="T215" s="70">
        <v>0</v>
      </c>
      <c r="U215" s="70">
        <v>0</v>
      </c>
      <c r="V215" s="70">
        <v>0</v>
      </c>
      <c r="W215" s="71" t="s">
        <v>83</v>
      </c>
      <c r="X215" s="72">
        <v>0</v>
      </c>
    </row>
    <row r="216" spans="1:24">
      <c r="A216" s="10" t="s">
        <v>553</v>
      </c>
      <c r="B216" s="10" t="s">
        <v>222</v>
      </c>
      <c r="C216" s="13" t="s">
        <v>554</v>
      </c>
      <c r="D216" s="10" t="s">
        <v>16</v>
      </c>
      <c r="E216" s="10" t="s">
        <v>224</v>
      </c>
      <c r="F216" s="13" t="s">
        <v>31</v>
      </c>
      <c r="G216" s="10" t="s">
        <v>7</v>
      </c>
      <c r="H216" s="10" t="s">
        <v>263</v>
      </c>
      <c r="I216" s="10" t="s">
        <v>78</v>
      </c>
      <c r="J216" s="14" t="s">
        <v>79</v>
      </c>
      <c r="K216" s="15" t="s">
        <v>86</v>
      </c>
      <c r="L216" s="14" t="s">
        <v>87</v>
      </c>
      <c r="M216" s="72" t="s">
        <v>124</v>
      </c>
      <c r="N216" s="70">
        <v>0</v>
      </c>
      <c r="O216" s="70">
        <v>0</v>
      </c>
      <c r="P216" s="70">
        <v>0</v>
      </c>
      <c r="Q216" s="70">
        <v>0</v>
      </c>
      <c r="R216" s="70">
        <v>0</v>
      </c>
      <c r="S216" s="70">
        <v>0</v>
      </c>
      <c r="T216" s="70">
        <v>0</v>
      </c>
      <c r="U216" s="70">
        <v>0</v>
      </c>
      <c r="V216" s="70">
        <v>0</v>
      </c>
      <c r="W216" s="71" t="s">
        <v>83</v>
      </c>
      <c r="X216" s="72">
        <v>0</v>
      </c>
    </row>
    <row r="217" spans="1:24">
      <c r="A217" s="10" t="s">
        <v>555</v>
      </c>
      <c r="B217" s="10" t="s">
        <v>236</v>
      </c>
      <c r="C217" s="13" t="s">
        <v>556</v>
      </c>
      <c r="D217" s="10" t="s">
        <v>19</v>
      </c>
      <c r="E217" s="10" t="s">
        <v>224</v>
      </c>
      <c r="F217" s="13" t="s">
        <v>33</v>
      </c>
      <c r="G217" s="10" t="s">
        <v>8</v>
      </c>
      <c r="H217" s="10" t="s">
        <v>77</v>
      </c>
      <c r="I217" s="10" t="s">
        <v>78</v>
      </c>
      <c r="J217" s="14" t="s">
        <v>79</v>
      </c>
      <c r="K217" s="15" t="s">
        <v>86</v>
      </c>
      <c r="L217" s="14" t="s">
        <v>87</v>
      </c>
      <c r="M217" s="72" t="s">
        <v>124</v>
      </c>
      <c r="N217" s="70">
        <v>0</v>
      </c>
      <c r="O217" s="70">
        <v>0</v>
      </c>
      <c r="P217" s="70">
        <v>0</v>
      </c>
      <c r="Q217" s="70">
        <v>0</v>
      </c>
      <c r="R217" s="70">
        <v>0</v>
      </c>
      <c r="S217" s="70">
        <v>0</v>
      </c>
      <c r="T217" s="70">
        <v>1</v>
      </c>
      <c r="U217" s="70">
        <v>1</v>
      </c>
      <c r="V217" s="70">
        <v>0</v>
      </c>
      <c r="W217" s="71" t="s">
        <v>83</v>
      </c>
      <c r="X217" s="73" t="s">
        <v>125</v>
      </c>
    </row>
    <row r="218" spans="1:24">
      <c r="A218" s="10" t="s">
        <v>557</v>
      </c>
      <c r="B218" s="10" t="s">
        <v>236</v>
      </c>
      <c r="C218" s="13" t="s">
        <v>558</v>
      </c>
      <c r="D218" s="10" t="s">
        <v>19</v>
      </c>
      <c r="E218" s="10" t="s">
        <v>224</v>
      </c>
      <c r="F218" s="13" t="s">
        <v>41</v>
      </c>
      <c r="G218" s="10" t="s">
        <v>7</v>
      </c>
      <c r="H218" s="10" t="s">
        <v>179</v>
      </c>
      <c r="I218" s="10" t="s">
        <v>78</v>
      </c>
      <c r="J218" s="14" t="s">
        <v>79</v>
      </c>
      <c r="K218" s="15" t="s">
        <v>86</v>
      </c>
      <c r="L218" s="14" t="s">
        <v>87</v>
      </c>
      <c r="M218" s="72" t="s">
        <v>82</v>
      </c>
      <c r="N218" s="70">
        <v>1</v>
      </c>
      <c r="O218" s="70">
        <v>0</v>
      </c>
      <c r="P218" s="70">
        <v>0</v>
      </c>
      <c r="Q218" s="70">
        <v>0</v>
      </c>
      <c r="R218" s="70">
        <v>0</v>
      </c>
      <c r="S218" s="70">
        <v>1</v>
      </c>
      <c r="T218" s="70">
        <v>0</v>
      </c>
      <c r="U218" s="70">
        <v>0</v>
      </c>
      <c r="V218" s="70">
        <v>0</v>
      </c>
      <c r="W218" s="71" t="s">
        <v>83</v>
      </c>
      <c r="X218" s="72">
        <v>0</v>
      </c>
    </row>
    <row r="219" spans="1:24">
      <c r="A219" s="10" t="s">
        <v>559</v>
      </c>
      <c r="B219" s="10" t="s">
        <v>236</v>
      </c>
      <c r="C219" s="13" t="s">
        <v>560</v>
      </c>
      <c r="D219" s="10" t="s">
        <v>19</v>
      </c>
      <c r="E219" s="10" t="s">
        <v>224</v>
      </c>
      <c r="F219" s="13" t="s">
        <v>33</v>
      </c>
      <c r="G219" s="10" t="s">
        <v>8</v>
      </c>
      <c r="H219" s="10" t="s">
        <v>77</v>
      </c>
      <c r="I219" s="10" t="s">
        <v>78</v>
      </c>
      <c r="J219" s="14" t="s">
        <v>79</v>
      </c>
      <c r="K219" s="15" t="s">
        <v>86</v>
      </c>
      <c r="L219" s="14" t="s">
        <v>87</v>
      </c>
      <c r="M219" s="72" t="s">
        <v>124</v>
      </c>
      <c r="N219" s="70">
        <v>0</v>
      </c>
      <c r="O219" s="70">
        <v>0</v>
      </c>
      <c r="P219" s="70">
        <v>0</v>
      </c>
      <c r="Q219" s="70">
        <v>0</v>
      </c>
      <c r="R219" s="70">
        <v>0</v>
      </c>
      <c r="S219" s="70">
        <v>0</v>
      </c>
      <c r="T219" s="70">
        <v>1</v>
      </c>
      <c r="U219" s="70">
        <v>1</v>
      </c>
      <c r="V219" s="70">
        <v>0</v>
      </c>
      <c r="W219" s="71" t="s">
        <v>83</v>
      </c>
      <c r="X219" s="73" t="s">
        <v>125</v>
      </c>
    </row>
    <row r="220" spans="1:24">
      <c r="A220" s="10" t="s">
        <v>561</v>
      </c>
      <c r="B220" s="10" t="s">
        <v>236</v>
      </c>
      <c r="C220" s="13" t="s">
        <v>562</v>
      </c>
      <c r="D220" s="10" t="s">
        <v>19</v>
      </c>
      <c r="E220" s="10" t="s">
        <v>224</v>
      </c>
      <c r="F220" s="13" t="s">
        <v>32</v>
      </c>
      <c r="G220" s="10" t="s">
        <v>8</v>
      </c>
      <c r="H220" s="10" t="s">
        <v>77</v>
      </c>
      <c r="I220" s="10" t="s">
        <v>78</v>
      </c>
      <c r="J220" s="14" t="s">
        <v>79</v>
      </c>
      <c r="K220" s="15" t="s">
        <v>86</v>
      </c>
      <c r="L220" s="14" t="s">
        <v>87</v>
      </c>
      <c r="M220" s="72" t="s">
        <v>82</v>
      </c>
      <c r="N220" s="70">
        <v>1</v>
      </c>
      <c r="O220" s="70">
        <v>0</v>
      </c>
      <c r="P220" s="70">
        <v>0</v>
      </c>
      <c r="Q220" s="70">
        <v>0</v>
      </c>
      <c r="R220" s="70">
        <v>0</v>
      </c>
      <c r="S220" s="70">
        <v>1</v>
      </c>
      <c r="T220" s="70">
        <v>1</v>
      </c>
      <c r="U220" s="70">
        <v>1</v>
      </c>
      <c r="V220" s="70">
        <v>0</v>
      </c>
      <c r="W220" s="71" t="s">
        <v>83</v>
      </c>
      <c r="X220" s="72">
        <v>0</v>
      </c>
    </row>
    <row r="221" spans="1:24">
      <c r="A221" s="10" t="s">
        <v>563</v>
      </c>
      <c r="B221" s="10" t="s">
        <v>236</v>
      </c>
      <c r="C221" s="13" t="s">
        <v>564</v>
      </c>
      <c r="D221" s="10" t="s">
        <v>19</v>
      </c>
      <c r="E221" s="10" t="s">
        <v>224</v>
      </c>
      <c r="F221" s="13" t="s">
        <v>31</v>
      </c>
      <c r="G221" s="10" t="s">
        <v>8</v>
      </c>
      <c r="H221" s="10" t="s">
        <v>179</v>
      </c>
      <c r="I221" s="10" t="s">
        <v>128</v>
      </c>
      <c r="J221" s="14" t="s">
        <v>79</v>
      </c>
      <c r="K221" s="15" t="s">
        <v>86</v>
      </c>
      <c r="L221" s="14" t="s">
        <v>87</v>
      </c>
      <c r="M221" s="72" t="s">
        <v>82</v>
      </c>
      <c r="N221" s="70">
        <v>1</v>
      </c>
      <c r="O221" s="70">
        <v>0</v>
      </c>
      <c r="P221" s="70">
        <v>0</v>
      </c>
      <c r="Q221" s="70">
        <v>0</v>
      </c>
      <c r="R221" s="70">
        <v>0</v>
      </c>
      <c r="S221" s="70">
        <v>1</v>
      </c>
      <c r="T221" s="70">
        <v>1</v>
      </c>
      <c r="U221" s="70">
        <v>0</v>
      </c>
      <c r="V221" s="70">
        <v>1</v>
      </c>
      <c r="W221" s="71" t="s">
        <v>83</v>
      </c>
      <c r="X221" s="72">
        <v>0</v>
      </c>
    </row>
    <row r="222" spans="1:24">
      <c r="A222" s="10" t="s">
        <v>565</v>
      </c>
      <c r="B222" s="10" t="s">
        <v>236</v>
      </c>
      <c r="C222" s="13" t="s">
        <v>566</v>
      </c>
      <c r="D222" s="10" t="s">
        <v>19</v>
      </c>
      <c r="E222" s="10" t="s">
        <v>224</v>
      </c>
      <c r="F222" s="13" t="s">
        <v>32</v>
      </c>
      <c r="G222" s="10" t="s">
        <v>7</v>
      </c>
      <c r="H222" s="10" t="s">
        <v>77</v>
      </c>
      <c r="I222" s="10" t="s">
        <v>78</v>
      </c>
      <c r="J222" s="14" t="s">
        <v>79</v>
      </c>
      <c r="K222" s="15" t="s">
        <v>86</v>
      </c>
      <c r="L222" s="14" t="s">
        <v>87</v>
      </c>
      <c r="M222" s="72" t="s">
        <v>82</v>
      </c>
      <c r="N222" s="70">
        <v>1</v>
      </c>
      <c r="O222" s="70">
        <v>0</v>
      </c>
      <c r="P222" s="70">
        <v>0</v>
      </c>
      <c r="Q222" s="70">
        <v>0</v>
      </c>
      <c r="R222" s="70">
        <v>0</v>
      </c>
      <c r="S222" s="70">
        <v>1</v>
      </c>
      <c r="T222" s="70">
        <v>0</v>
      </c>
      <c r="U222" s="70">
        <v>1</v>
      </c>
      <c r="V222" s="70">
        <v>0</v>
      </c>
      <c r="W222" s="71" t="s">
        <v>83</v>
      </c>
      <c r="X222" s="72">
        <v>0</v>
      </c>
    </row>
    <row r="223" spans="1:24">
      <c r="A223" s="10" t="s">
        <v>567</v>
      </c>
      <c r="B223" s="10" t="s">
        <v>236</v>
      </c>
      <c r="C223" s="13" t="s">
        <v>568</v>
      </c>
      <c r="D223" s="10" t="s">
        <v>19</v>
      </c>
      <c r="E223" s="10" t="s">
        <v>224</v>
      </c>
      <c r="F223" s="13" t="s">
        <v>33</v>
      </c>
      <c r="G223" s="10" t="s">
        <v>8</v>
      </c>
      <c r="H223" s="10" t="s">
        <v>77</v>
      </c>
      <c r="I223" s="10" t="s">
        <v>128</v>
      </c>
      <c r="J223" s="14" t="s">
        <v>79</v>
      </c>
      <c r="K223" s="15" t="s">
        <v>86</v>
      </c>
      <c r="L223" s="14" t="s">
        <v>87</v>
      </c>
      <c r="M223" s="72" t="s">
        <v>82</v>
      </c>
      <c r="N223" s="70">
        <v>1</v>
      </c>
      <c r="O223" s="70">
        <v>0</v>
      </c>
      <c r="P223" s="70">
        <v>0</v>
      </c>
      <c r="Q223" s="70">
        <v>0</v>
      </c>
      <c r="R223" s="70">
        <v>0</v>
      </c>
      <c r="S223" s="70">
        <v>1</v>
      </c>
      <c r="T223" s="70">
        <v>1</v>
      </c>
      <c r="U223" s="70">
        <v>1</v>
      </c>
      <c r="V223" s="70">
        <v>1</v>
      </c>
      <c r="W223" s="71" t="s">
        <v>83</v>
      </c>
      <c r="X223" s="72">
        <v>0</v>
      </c>
    </row>
    <row r="224" spans="1:24">
      <c r="A224" s="10" t="s">
        <v>569</v>
      </c>
      <c r="B224" s="10" t="s">
        <v>236</v>
      </c>
      <c r="C224" s="13" t="s">
        <v>570</v>
      </c>
      <c r="D224" s="10" t="s">
        <v>19</v>
      </c>
      <c r="E224" s="10" t="s">
        <v>224</v>
      </c>
      <c r="F224" s="13" t="s">
        <v>40</v>
      </c>
      <c r="G224" s="10" t="s">
        <v>7</v>
      </c>
      <c r="H224" s="10" t="s">
        <v>77</v>
      </c>
      <c r="I224" s="10" t="s">
        <v>128</v>
      </c>
      <c r="J224" s="14" t="s">
        <v>79</v>
      </c>
      <c r="K224" s="15" t="s">
        <v>86</v>
      </c>
      <c r="L224" s="14" t="s">
        <v>87</v>
      </c>
      <c r="M224" s="72" t="s">
        <v>124</v>
      </c>
      <c r="N224" s="70">
        <v>0</v>
      </c>
      <c r="O224" s="70">
        <v>0</v>
      </c>
      <c r="P224" s="70">
        <v>0</v>
      </c>
      <c r="Q224" s="70">
        <v>0</v>
      </c>
      <c r="R224" s="70">
        <v>0</v>
      </c>
      <c r="S224" s="70">
        <v>0</v>
      </c>
      <c r="T224" s="70">
        <v>0</v>
      </c>
      <c r="U224" s="70">
        <v>1</v>
      </c>
      <c r="V224" s="70">
        <v>1</v>
      </c>
      <c r="W224" s="71" t="s">
        <v>83</v>
      </c>
      <c r="X224" s="73" t="s">
        <v>571</v>
      </c>
    </row>
    <row r="225" spans="1:24">
      <c r="A225" s="10" t="s">
        <v>572</v>
      </c>
      <c r="B225" s="10" t="s">
        <v>236</v>
      </c>
      <c r="C225" s="13" t="s">
        <v>573</v>
      </c>
      <c r="D225" s="10" t="s">
        <v>19</v>
      </c>
      <c r="E225" s="10" t="s">
        <v>224</v>
      </c>
      <c r="F225" s="13" t="s">
        <v>33</v>
      </c>
      <c r="G225" s="10" t="s">
        <v>8</v>
      </c>
      <c r="H225" s="10" t="s">
        <v>77</v>
      </c>
      <c r="I225" s="10" t="s">
        <v>78</v>
      </c>
      <c r="J225" s="14" t="s">
        <v>79</v>
      </c>
      <c r="K225" s="15" t="s">
        <v>86</v>
      </c>
      <c r="L225" s="14" t="s">
        <v>87</v>
      </c>
      <c r="M225" s="72" t="s">
        <v>82</v>
      </c>
      <c r="N225" s="70">
        <v>1</v>
      </c>
      <c r="O225" s="70">
        <v>0</v>
      </c>
      <c r="P225" s="70">
        <v>0</v>
      </c>
      <c r="Q225" s="70">
        <v>0</v>
      </c>
      <c r="R225" s="70">
        <v>0</v>
      </c>
      <c r="S225" s="70">
        <v>1</v>
      </c>
      <c r="T225" s="70">
        <v>1</v>
      </c>
      <c r="U225" s="70">
        <v>1</v>
      </c>
      <c r="V225" s="70">
        <v>0</v>
      </c>
      <c r="W225" s="71" t="s">
        <v>83</v>
      </c>
      <c r="X225" s="72">
        <v>0</v>
      </c>
    </row>
    <row r="226" spans="1:24">
      <c r="A226" s="10" t="s">
        <v>574</v>
      </c>
      <c r="B226" s="10" t="s">
        <v>236</v>
      </c>
      <c r="C226" s="13" t="s">
        <v>575</v>
      </c>
      <c r="D226" s="10" t="s">
        <v>19</v>
      </c>
      <c r="E226" s="10" t="s">
        <v>224</v>
      </c>
      <c r="F226" s="13" t="s">
        <v>37</v>
      </c>
      <c r="G226" s="10" t="s">
        <v>8</v>
      </c>
      <c r="H226" s="10" t="s">
        <v>77</v>
      </c>
      <c r="I226" s="10" t="s">
        <v>78</v>
      </c>
      <c r="J226" s="14" t="s">
        <v>79</v>
      </c>
      <c r="K226" s="15" t="s">
        <v>86</v>
      </c>
      <c r="L226" s="14" t="s">
        <v>87</v>
      </c>
      <c r="M226" s="72" t="s">
        <v>124</v>
      </c>
      <c r="N226" s="70">
        <v>0</v>
      </c>
      <c r="O226" s="70">
        <v>0</v>
      </c>
      <c r="P226" s="70">
        <v>0</v>
      </c>
      <c r="Q226" s="70">
        <v>0</v>
      </c>
      <c r="R226" s="70">
        <v>0</v>
      </c>
      <c r="S226" s="70">
        <v>0</v>
      </c>
      <c r="T226" s="70">
        <v>1</v>
      </c>
      <c r="U226" s="70">
        <v>1</v>
      </c>
      <c r="V226" s="70">
        <v>0</v>
      </c>
      <c r="W226" s="71" t="s">
        <v>83</v>
      </c>
      <c r="X226" s="73" t="s">
        <v>125</v>
      </c>
    </row>
    <row r="227" spans="1:24">
      <c r="A227" s="10" t="s">
        <v>576</v>
      </c>
      <c r="B227" s="10" t="s">
        <v>236</v>
      </c>
      <c r="C227" s="13" t="s">
        <v>577</v>
      </c>
      <c r="D227" s="10" t="s">
        <v>19</v>
      </c>
      <c r="E227" s="10" t="s">
        <v>224</v>
      </c>
      <c r="F227" s="13" t="s">
        <v>42</v>
      </c>
      <c r="G227" s="10" t="s">
        <v>8</v>
      </c>
      <c r="H227" s="10" t="s">
        <v>77</v>
      </c>
      <c r="I227" s="10" t="s">
        <v>78</v>
      </c>
      <c r="J227" s="14" t="s">
        <v>79</v>
      </c>
      <c r="K227" s="15" t="s">
        <v>86</v>
      </c>
      <c r="L227" s="14" t="s">
        <v>87</v>
      </c>
      <c r="M227" s="72" t="s">
        <v>82</v>
      </c>
      <c r="N227" s="70">
        <v>1</v>
      </c>
      <c r="O227" s="70">
        <v>0</v>
      </c>
      <c r="P227" s="70">
        <v>0</v>
      </c>
      <c r="Q227" s="70">
        <v>0</v>
      </c>
      <c r="R227" s="70">
        <v>0</v>
      </c>
      <c r="S227" s="70">
        <v>1</v>
      </c>
      <c r="T227" s="70">
        <v>1</v>
      </c>
      <c r="U227" s="70">
        <v>1</v>
      </c>
      <c r="V227" s="70">
        <v>0</v>
      </c>
      <c r="W227" s="71" t="s">
        <v>83</v>
      </c>
      <c r="X227" s="72">
        <v>0</v>
      </c>
    </row>
    <row r="228" spans="1:24">
      <c r="A228" s="10" t="s">
        <v>578</v>
      </c>
      <c r="B228" s="10" t="s">
        <v>236</v>
      </c>
      <c r="C228" s="13" t="s">
        <v>579</v>
      </c>
      <c r="D228" s="10" t="s">
        <v>19</v>
      </c>
      <c r="E228" s="10" t="s">
        <v>224</v>
      </c>
      <c r="F228" s="13" t="s">
        <v>37</v>
      </c>
      <c r="G228" s="10" t="s">
        <v>8</v>
      </c>
      <c r="H228" s="10" t="s">
        <v>77</v>
      </c>
      <c r="I228" s="10" t="s">
        <v>78</v>
      </c>
      <c r="J228" s="14" t="s">
        <v>79</v>
      </c>
      <c r="K228" s="15" t="s">
        <v>80</v>
      </c>
      <c r="L228" s="14" t="s">
        <v>81</v>
      </c>
      <c r="M228" s="72" t="s">
        <v>82</v>
      </c>
      <c r="N228" s="70">
        <v>1</v>
      </c>
      <c r="O228" s="70">
        <v>0</v>
      </c>
      <c r="P228" s="70">
        <v>0</v>
      </c>
      <c r="Q228" s="70">
        <v>0</v>
      </c>
      <c r="R228" s="70">
        <v>0</v>
      </c>
      <c r="S228" s="70">
        <v>1</v>
      </c>
      <c r="T228" s="70">
        <v>1</v>
      </c>
      <c r="U228" s="70">
        <v>1</v>
      </c>
      <c r="V228" s="70">
        <v>0</v>
      </c>
      <c r="W228" s="71" t="s">
        <v>83</v>
      </c>
      <c r="X228" s="72">
        <v>0</v>
      </c>
    </row>
    <row r="229" spans="1:24">
      <c r="A229" s="10" t="s">
        <v>580</v>
      </c>
      <c r="B229" s="10" t="s">
        <v>236</v>
      </c>
      <c r="C229" s="13" t="s">
        <v>581</v>
      </c>
      <c r="D229" s="10" t="s">
        <v>19</v>
      </c>
      <c r="E229" s="10" t="s">
        <v>224</v>
      </c>
      <c r="F229" s="13" t="s">
        <v>33</v>
      </c>
      <c r="G229" s="10" t="s">
        <v>8</v>
      </c>
      <c r="H229" s="10" t="s">
        <v>179</v>
      </c>
      <c r="I229" s="10" t="s">
        <v>78</v>
      </c>
      <c r="J229" s="14" t="s">
        <v>79</v>
      </c>
      <c r="K229" s="15" t="s">
        <v>86</v>
      </c>
      <c r="L229" s="14" t="s">
        <v>87</v>
      </c>
      <c r="M229" s="72" t="s">
        <v>124</v>
      </c>
      <c r="N229" s="70">
        <v>0</v>
      </c>
      <c r="O229" s="70">
        <v>0</v>
      </c>
      <c r="P229" s="70">
        <v>0</v>
      </c>
      <c r="Q229" s="70">
        <v>0</v>
      </c>
      <c r="R229" s="70">
        <v>0</v>
      </c>
      <c r="S229" s="70">
        <v>0</v>
      </c>
      <c r="T229" s="70">
        <v>1</v>
      </c>
      <c r="U229" s="70">
        <v>0</v>
      </c>
      <c r="V229" s="70">
        <v>0</v>
      </c>
      <c r="W229" s="71" t="s">
        <v>83</v>
      </c>
      <c r="X229" s="73" t="s">
        <v>209</v>
      </c>
    </row>
    <row r="230" spans="1:24">
      <c r="A230" s="10" t="s">
        <v>582</v>
      </c>
      <c r="B230" s="10" t="s">
        <v>236</v>
      </c>
      <c r="C230" s="13" t="s">
        <v>583</v>
      </c>
      <c r="D230" s="10" t="s">
        <v>19</v>
      </c>
      <c r="E230" s="10" t="s">
        <v>224</v>
      </c>
      <c r="F230" s="13" t="s">
        <v>32</v>
      </c>
      <c r="G230" s="10" t="s">
        <v>8</v>
      </c>
      <c r="H230" s="10" t="s">
        <v>77</v>
      </c>
      <c r="I230" s="10" t="s">
        <v>78</v>
      </c>
      <c r="J230" s="14" t="s">
        <v>79</v>
      </c>
      <c r="K230" s="15" t="s">
        <v>86</v>
      </c>
      <c r="L230" s="14" t="s">
        <v>87</v>
      </c>
      <c r="M230" s="72" t="s">
        <v>124</v>
      </c>
      <c r="N230" s="70">
        <v>0</v>
      </c>
      <c r="O230" s="70">
        <v>0</v>
      </c>
      <c r="P230" s="70">
        <v>0</v>
      </c>
      <c r="Q230" s="70">
        <v>0</v>
      </c>
      <c r="R230" s="70">
        <v>0</v>
      </c>
      <c r="S230" s="70">
        <v>0</v>
      </c>
      <c r="T230" s="70">
        <v>1</v>
      </c>
      <c r="U230" s="70">
        <v>1</v>
      </c>
      <c r="V230" s="70">
        <v>0</v>
      </c>
      <c r="W230" s="71" t="s">
        <v>83</v>
      </c>
      <c r="X230" s="73" t="s">
        <v>125</v>
      </c>
    </row>
    <row r="231" spans="1:24">
      <c r="A231" s="10" t="s">
        <v>584</v>
      </c>
      <c r="B231" s="10" t="s">
        <v>236</v>
      </c>
      <c r="C231" s="13" t="s">
        <v>585</v>
      </c>
      <c r="D231" s="10" t="s">
        <v>19</v>
      </c>
      <c r="E231" s="10" t="s">
        <v>224</v>
      </c>
      <c r="F231" s="13" t="s">
        <v>42</v>
      </c>
      <c r="G231" s="10" t="s">
        <v>7</v>
      </c>
      <c r="H231" s="10" t="s">
        <v>77</v>
      </c>
      <c r="I231" s="10" t="s">
        <v>78</v>
      </c>
      <c r="J231" s="14" t="s">
        <v>79</v>
      </c>
      <c r="K231" s="15" t="s">
        <v>80</v>
      </c>
      <c r="L231" s="14" t="s">
        <v>81</v>
      </c>
      <c r="M231" s="72" t="s">
        <v>82</v>
      </c>
      <c r="N231" s="70">
        <v>1</v>
      </c>
      <c r="O231" s="70">
        <v>0</v>
      </c>
      <c r="P231" s="70">
        <v>0</v>
      </c>
      <c r="Q231" s="70">
        <v>0</v>
      </c>
      <c r="R231" s="70">
        <v>0</v>
      </c>
      <c r="S231" s="70">
        <v>1</v>
      </c>
      <c r="T231" s="70">
        <v>0</v>
      </c>
      <c r="U231" s="70">
        <v>1</v>
      </c>
      <c r="V231" s="70">
        <v>0</v>
      </c>
      <c r="W231" s="71" t="s">
        <v>83</v>
      </c>
      <c r="X231" s="72">
        <v>0</v>
      </c>
    </row>
    <row r="232" spans="1:24">
      <c r="A232" s="10" t="s">
        <v>586</v>
      </c>
      <c r="B232" s="10" t="s">
        <v>236</v>
      </c>
      <c r="C232" s="13" t="s">
        <v>587</v>
      </c>
      <c r="D232" s="10" t="s">
        <v>19</v>
      </c>
      <c r="E232" s="10" t="s">
        <v>224</v>
      </c>
      <c r="F232" s="13" t="s">
        <v>588</v>
      </c>
      <c r="G232" s="10" t="s">
        <v>7</v>
      </c>
      <c r="H232" s="10" t="s">
        <v>77</v>
      </c>
      <c r="I232" s="10" t="s">
        <v>128</v>
      </c>
      <c r="J232" s="14" t="s">
        <v>79</v>
      </c>
      <c r="K232" s="15" t="s">
        <v>86</v>
      </c>
      <c r="L232" s="14" t="s">
        <v>87</v>
      </c>
      <c r="M232" s="72" t="s">
        <v>82</v>
      </c>
      <c r="N232" s="70">
        <v>1</v>
      </c>
      <c r="O232" s="70">
        <v>0</v>
      </c>
      <c r="P232" s="70">
        <v>0</v>
      </c>
      <c r="Q232" s="70">
        <v>0</v>
      </c>
      <c r="R232" s="70">
        <v>0</v>
      </c>
      <c r="S232" s="70">
        <v>1</v>
      </c>
      <c r="T232" s="70">
        <v>0</v>
      </c>
      <c r="U232" s="70">
        <v>1</v>
      </c>
      <c r="V232" s="70">
        <v>1</v>
      </c>
      <c r="W232" s="71" t="s">
        <v>83</v>
      </c>
      <c r="X232" s="73" t="s">
        <v>157</v>
      </c>
    </row>
    <row r="233" spans="1:24">
      <c r="A233" s="10" t="s">
        <v>589</v>
      </c>
      <c r="B233" s="10" t="s">
        <v>236</v>
      </c>
      <c r="C233" s="13" t="s">
        <v>590</v>
      </c>
      <c r="D233" s="10" t="s">
        <v>19</v>
      </c>
      <c r="E233" s="10" t="s">
        <v>224</v>
      </c>
      <c r="F233" s="13" t="s">
        <v>39</v>
      </c>
      <c r="G233" s="10" t="s">
        <v>8</v>
      </c>
      <c r="H233" s="10" t="s">
        <v>77</v>
      </c>
      <c r="I233" s="10" t="s">
        <v>78</v>
      </c>
      <c r="J233" s="14" t="s">
        <v>79</v>
      </c>
      <c r="K233" s="16" t="s">
        <v>535</v>
      </c>
      <c r="L233" s="14" t="s">
        <v>536</v>
      </c>
      <c r="M233" s="72" t="s">
        <v>124</v>
      </c>
      <c r="N233" s="70">
        <v>0</v>
      </c>
      <c r="O233" s="70">
        <v>0</v>
      </c>
      <c r="P233" s="70">
        <v>0</v>
      </c>
      <c r="Q233" s="70">
        <v>0</v>
      </c>
      <c r="R233" s="70">
        <v>0</v>
      </c>
      <c r="S233" s="70">
        <v>0</v>
      </c>
      <c r="T233" s="70">
        <v>1</v>
      </c>
      <c r="U233" s="70">
        <v>1</v>
      </c>
      <c r="V233" s="70">
        <v>0</v>
      </c>
      <c r="W233" s="71" t="s">
        <v>83</v>
      </c>
      <c r="X233" s="73" t="s">
        <v>125</v>
      </c>
    </row>
    <row r="234" spans="1:24">
      <c r="A234" s="10" t="s">
        <v>591</v>
      </c>
      <c r="B234" s="10" t="s">
        <v>236</v>
      </c>
      <c r="C234" s="13" t="s">
        <v>592</v>
      </c>
      <c r="D234" s="10" t="s">
        <v>19</v>
      </c>
      <c r="E234" s="10" t="s">
        <v>224</v>
      </c>
      <c r="F234" s="13" t="s">
        <v>32</v>
      </c>
      <c r="G234" s="10" t="s">
        <v>8</v>
      </c>
      <c r="H234" s="10" t="s">
        <v>77</v>
      </c>
      <c r="I234" s="10" t="s">
        <v>78</v>
      </c>
      <c r="J234" s="14" t="s">
        <v>79</v>
      </c>
      <c r="K234" s="15" t="s">
        <v>86</v>
      </c>
      <c r="L234" s="14" t="s">
        <v>87</v>
      </c>
      <c r="M234" s="72" t="s">
        <v>124</v>
      </c>
      <c r="N234" s="70">
        <v>0</v>
      </c>
      <c r="O234" s="70">
        <v>0</v>
      </c>
      <c r="P234" s="70">
        <v>0</v>
      </c>
      <c r="Q234" s="70">
        <v>0</v>
      </c>
      <c r="R234" s="70">
        <v>0</v>
      </c>
      <c r="S234" s="70">
        <v>0</v>
      </c>
      <c r="T234" s="70">
        <v>1</v>
      </c>
      <c r="U234" s="70">
        <v>1</v>
      </c>
      <c r="V234" s="70">
        <v>0</v>
      </c>
      <c r="W234" s="71" t="s">
        <v>83</v>
      </c>
      <c r="X234" s="73" t="s">
        <v>125</v>
      </c>
    </row>
    <row r="235" spans="1:24">
      <c r="A235" s="10" t="s">
        <v>593</v>
      </c>
      <c r="B235" s="10" t="s">
        <v>236</v>
      </c>
      <c r="C235" s="13" t="s">
        <v>594</v>
      </c>
      <c r="D235" s="10" t="s">
        <v>19</v>
      </c>
      <c r="E235" s="10" t="s">
        <v>224</v>
      </c>
      <c r="F235" s="13" t="s">
        <v>33</v>
      </c>
      <c r="G235" s="10" t="s">
        <v>8</v>
      </c>
      <c r="H235" s="10" t="s">
        <v>90</v>
      </c>
      <c r="I235" s="10" t="s">
        <v>78</v>
      </c>
      <c r="J235" s="14" t="s">
        <v>79</v>
      </c>
      <c r="K235" s="15" t="s">
        <v>86</v>
      </c>
      <c r="L235" s="14" t="s">
        <v>87</v>
      </c>
      <c r="M235" s="72" t="s">
        <v>82</v>
      </c>
      <c r="N235" s="70">
        <v>1</v>
      </c>
      <c r="O235" s="70">
        <v>0</v>
      </c>
      <c r="P235" s="70">
        <v>0</v>
      </c>
      <c r="Q235" s="70">
        <v>0</v>
      </c>
      <c r="R235" s="70">
        <v>0</v>
      </c>
      <c r="S235" s="70">
        <v>1</v>
      </c>
      <c r="T235" s="70">
        <v>1</v>
      </c>
      <c r="U235" s="70">
        <v>0</v>
      </c>
      <c r="V235" s="70">
        <v>0</v>
      </c>
      <c r="W235" s="71" t="s">
        <v>83</v>
      </c>
      <c r="X235" s="72">
        <v>0</v>
      </c>
    </row>
    <row r="236" spans="1:24">
      <c r="A236" s="10" t="s">
        <v>595</v>
      </c>
      <c r="B236" s="10" t="s">
        <v>236</v>
      </c>
      <c r="C236" s="13" t="s">
        <v>596</v>
      </c>
      <c r="D236" s="10" t="s">
        <v>19</v>
      </c>
      <c r="E236" s="10" t="s">
        <v>224</v>
      </c>
      <c r="F236" s="13" t="s">
        <v>42</v>
      </c>
      <c r="G236" s="10" t="s">
        <v>8</v>
      </c>
      <c r="H236" s="10" t="s">
        <v>77</v>
      </c>
      <c r="I236" s="10" t="s">
        <v>78</v>
      </c>
      <c r="J236" s="14" t="s">
        <v>79</v>
      </c>
      <c r="K236" s="15" t="s">
        <v>80</v>
      </c>
      <c r="L236" s="14" t="s">
        <v>81</v>
      </c>
      <c r="M236" s="72" t="s">
        <v>124</v>
      </c>
      <c r="N236" s="70">
        <v>0</v>
      </c>
      <c r="O236" s="70">
        <v>0</v>
      </c>
      <c r="P236" s="70">
        <v>0</v>
      </c>
      <c r="Q236" s="70">
        <v>0</v>
      </c>
      <c r="R236" s="70">
        <v>0</v>
      </c>
      <c r="S236" s="70">
        <v>0</v>
      </c>
      <c r="T236" s="70">
        <v>1</v>
      </c>
      <c r="U236" s="70">
        <v>1</v>
      </c>
      <c r="V236" s="70">
        <v>0</v>
      </c>
      <c r="W236" s="71" t="s">
        <v>83</v>
      </c>
      <c r="X236" s="73" t="s">
        <v>125</v>
      </c>
    </row>
    <row r="237" spans="1:24">
      <c r="A237" s="10" t="s">
        <v>597</v>
      </c>
      <c r="B237" s="10" t="s">
        <v>236</v>
      </c>
      <c r="C237" s="13" t="s">
        <v>598</v>
      </c>
      <c r="D237" s="10" t="s">
        <v>19</v>
      </c>
      <c r="E237" s="10" t="s">
        <v>224</v>
      </c>
      <c r="F237" s="13" t="s">
        <v>39</v>
      </c>
      <c r="G237" s="10" t="s">
        <v>8</v>
      </c>
      <c r="H237" s="10" t="s">
        <v>90</v>
      </c>
      <c r="I237" s="10" t="s">
        <v>78</v>
      </c>
      <c r="J237" s="14" t="s">
        <v>79</v>
      </c>
      <c r="K237" s="15" t="s">
        <v>86</v>
      </c>
      <c r="L237" s="14" t="s">
        <v>87</v>
      </c>
      <c r="M237" s="72" t="s">
        <v>124</v>
      </c>
      <c r="N237" s="70">
        <v>0</v>
      </c>
      <c r="O237" s="70">
        <v>0</v>
      </c>
      <c r="P237" s="70">
        <v>0</v>
      </c>
      <c r="Q237" s="70">
        <v>0</v>
      </c>
      <c r="R237" s="70">
        <v>0</v>
      </c>
      <c r="S237" s="70">
        <v>0</v>
      </c>
      <c r="T237" s="70">
        <v>1</v>
      </c>
      <c r="U237" s="70">
        <v>0</v>
      </c>
      <c r="V237" s="70">
        <v>0</v>
      </c>
      <c r="W237" s="71" t="s">
        <v>83</v>
      </c>
      <c r="X237" s="73" t="s">
        <v>209</v>
      </c>
    </row>
    <row r="238" spans="1:24">
      <c r="A238" s="10" t="s">
        <v>599</v>
      </c>
      <c r="B238" s="10" t="s">
        <v>236</v>
      </c>
      <c r="C238" s="13" t="s">
        <v>600</v>
      </c>
      <c r="D238" s="10" t="s">
        <v>19</v>
      </c>
      <c r="E238" s="10" t="s">
        <v>224</v>
      </c>
      <c r="F238" s="13" t="s">
        <v>33</v>
      </c>
      <c r="G238" s="10" t="s">
        <v>8</v>
      </c>
      <c r="H238" s="10" t="s">
        <v>179</v>
      </c>
      <c r="I238" s="10" t="s">
        <v>78</v>
      </c>
      <c r="J238" s="14" t="s">
        <v>79</v>
      </c>
      <c r="K238" s="15" t="s">
        <v>86</v>
      </c>
      <c r="L238" s="14" t="s">
        <v>87</v>
      </c>
      <c r="M238" s="72" t="s">
        <v>124</v>
      </c>
      <c r="N238" s="70">
        <v>0</v>
      </c>
      <c r="O238" s="70">
        <v>0</v>
      </c>
      <c r="P238" s="70">
        <v>0</v>
      </c>
      <c r="Q238" s="70">
        <v>0</v>
      </c>
      <c r="R238" s="70">
        <v>0</v>
      </c>
      <c r="S238" s="70">
        <v>0</v>
      </c>
      <c r="T238" s="70">
        <v>1</v>
      </c>
      <c r="U238" s="70">
        <v>0</v>
      </c>
      <c r="V238" s="70">
        <v>0</v>
      </c>
      <c r="W238" s="71" t="s">
        <v>83</v>
      </c>
      <c r="X238" s="73" t="s">
        <v>209</v>
      </c>
    </row>
    <row r="239" spans="1:24">
      <c r="A239" s="10" t="s">
        <v>601</v>
      </c>
      <c r="B239" s="10" t="s">
        <v>222</v>
      </c>
      <c r="C239" s="13" t="s">
        <v>602</v>
      </c>
      <c r="D239" s="10" t="s">
        <v>21</v>
      </c>
      <c r="E239" s="10" t="s">
        <v>224</v>
      </c>
      <c r="F239" s="13" t="s">
        <v>31</v>
      </c>
      <c r="G239" s="10" t="s">
        <v>7</v>
      </c>
      <c r="H239" s="10" t="s">
        <v>77</v>
      </c>
      <c r="I239" s="10" t="s">
        <v>78</v>
      </c>
      <c r="J239" s="14" t="s">
        <v>79</v>
      </c>
      <c r="K239" s="15" t="s">
        <v>80</v>
      </c>
      <c r="L239" s="14" t="s">
        <v>81</v>
      </c>
      <c r="M239" s="72" t="s">
        <v>124</v>
      </c>
      <c r="N239" s="70">
        <v>0</v>
      </c>
      <c r="O239" s="70">
        <v>7</v>
      </c>
      <c r="P239" s="70">
        <v>4</v>
      </c>
      <c r="Q239" s="70">
        <v>0</v>
      </c>
      <c r="R239" s="70">
        <v>0</v>
      </c>
      <c r="S239" s="70">
        <v>7</v>
      </c>
      <c r="T239" s="70">
        <v>4</v>
      </c>
      <c r="U239" s="70">
        <v>1</v>
      </c>
      <c r="V239" s="70">
        <v>0</v>
      </c>
      <c r="W239" s="71" t="s">
        <v>83</v>
      </c>
      <c r="X239" s="72">
        <v>0</v>
      </c>
    </row>
    <row r="240" spans="1:24">
      <c r="A240" s="10" t="s">
        <v>603</v>
      </c>
      <c r="B240" s="10" t="s">
        <v>222</v>
      </c>
      <c r="C240" s="13" t="s">
        <v>604</v>
      </c>
      <c r="D240" s="10" t="s">
        <v>21</v>
      </c>
      <c r="E240" s="10" t="s">
        <v>224</v>
      </c>
      <c r="F240" s="13" t="s">
        <v>42</v>
      </c>
      <c r="G240" s="10" t="s">
        <v>7</v>
      </c>
      <c r="H240" s="10" t="s">
        <v>263</v>
      </c>
      <c r="I240" s="10" t="s">
        <v>78</v>
      </c>
      <c r="J240" s="14" t="s">
        <v>79</v>
      </c>
      <c r="K240" s="15" t="s">
        <v>80</v>
      </c>
      <c r="L240" s="14" t="s">
        <v>81</v>
      </c>
      <c r="M240" s="72" t="s">
        <v>124</v>
      </c>
      <c r="N240" s="70">
        <v>0</v>
      </c>
      <c r="O240" s="70">
        <v>5</v>
      </c>
      <c r="P240" s="70">
        <v>0</v>
      </c>
      <c r="Q240" s="70">
        <v>0</v>
      </c>
      <c r="R240" s="70">
        <v>0</v>
      </c>
      <c r="S240" s="70">
        <v>5</v>
      </c>
      <c r="T240" s="70">
        <v>0</v>
      </c>
      <c r="U240" s="70">
        <v>0</v>
      </c>
      <c r="V240" s="70">
        <v>0</v>
      </c>
      <c r="W240" s="71" t="s">
        <v>83</v>
      </c>
      <c r="X240" s="72">
        <v>0</v>
      </c>
    </row>
    <row r="241" spans="1:24">
      <c r="A241" s="10" t="s">
        <v>605</v>
      </c>
      <c r="B241" s="10" t="s">
        <v>477</v>
      </c>
      <c r="C241" s="13" t="s">
        <v>606</v>
      </c>
      <c r="D241" s="10" t="s">
        <v>21</v>
      </c>
      <c r="E241" s="10" t="s">
        <v>224</v>
      </c>
      <c r="F241" s="13" t="s">
        <v>33</v>
      </c>
      <c r="G241" s="10" t="s">
        <v>7</v>
      </c>
      <c r="H241" s="10" t="s">
        <v>90</v>
      </c>
      <c r="I241" s="10" t="s">
        <v>78</v>
      </c>
      <c r="J241" s="14" t="s">
        <v>79</v>
      </c>
      <c r="K241" s="15" t="s">
        <v>86</v>
      </c>
      <c r="L241" s="14" t="s">
        <v>87</v>
      </c>
      <c r="M241" s="72" t="s">
        <v>124</v>
      </c>
      <c r="N241" s="70">
        <v>0</v>
      </c>
      <c r="O241" s="70">
        <v>22</v>
      </c>
      <c r="P241" s="70">
        <v>18</v>
      </c>
      <c r="Q241" s="70">
        <v>7</v>
      </c>
      <c r="R241" s="70">
        <v>1</v>
      </c>
      <c r="S241" s="70">
        <v>22</v>
      </c>
      <c r="T241" s="70">
        <v>18</v>
      </c>
      <c r="U241" s="70">
        <v>7</v>
      </c>
      <c r="V241" s="70">
        <v>1</v>
      </c>
      <c r="W241" s="71" t="s">
        <v>83</v>
      </c>
      <c r="X241" s="72">
        <v>0</v>
      </c>
    </row>
    <row r="242" spans="1:24">
      <c r="A242" s="10" t="s">
        <v>607</v>
      </c>
      <c r="B242" s="10" t="s">
        <v>240</v>
      </c>
      <c r="C242" s="13" t="s">
        <v>608</v>
      </c>
      <c r="D242" s="10" t="s">
        <v>23</v>
      </c>
      <c r="E242" s="10" t="s">
        <v>224</v>
      </c>
      <c r="F242" s="13" t="s">
        <v>33</v>
      </c>
      <c r="G242" s="10" t="s">
        <v>8</v>
      </c>
      <c r="H242" s="10" t="s">
        <v>77</v>
      </c>
      <c r="I242" s="10" t="s">
        <v>78</v>
      </c>
      <c r="J242" s="14" t="s">
        <v>79</v>
      </c>
      <c r="K242" s="15" t="s">
        <v>86</v>
      </c>
      <c r="L242" s="14" t="s">
        <v>87</v>
      </c>
      <c r="M242" s="72" t="s">
        <v>82</v>
      </c>
      <c r="N242" s="70">
        <v>1</v>
      </c>
      <c r="O242" s="70">
        <v>0</v>
      </c>
      <c r="P242" s="70">
        <v>0</v>
      </c>
      <c r="Q242" s="70">
        <v>0</v>
      </c>
      <c r="R242" s="70">
        <v>0</v>
      </c>
      <c r="S242" s="70">
        <v>1</v>
      </c>
      <c r="T242" s="70">
        <v>1</v>
      </c>
      <c r="U242" s="70">
        <v>1</v>
      </c>
      <c r="V242" s="70">
        <v>0</v>
      </c>
      <c r="W242" s="71" t="s">
        <v>83</v>
      </c>
      <c r="X242" s="72">
        <v>0</v>
      </c>
    </row>
    <row r="243" spans="1:24">
      <c r="A243" s="10" t="s">
        <v>609</v>
      </c>
      <c r="B243" s="10" t="s">
        <v>240</v>
      </c>
      <c r="C243" s="13" t="s">
        <v>610</v>
      </c>
      <c r="D243" s="10" t="s">
        <v>23</v>
      </c>
      <c r="E243" s="10" t="s">
        <v>224</v>
      </c>
      <c r="F243" s="13" t="s">
        <v>32</v>
      </c>
      <c r="G243" s="10" t="s">
        <v>8</v>
      </c>
      <c r="H243" s="10" t="s">
        <v>77</v>
      </c>
      <c r="I243" s="10" t="s">
        <v>78</v>
      </c>
      <c r="J243" s="14" t="s">
        <v>79</v>
      </c>
      <c r="K243" s="15" t="s">
        <v>86</v>
      </c>
      <c r="L243" s="14" t="s">
        <v>87</v>
      </c>
      <c r="M243" s="72" t="s">
        <v>124</v>
      </c>
      <c r="N243" s="70">
        <v>0</v>
      </c>
      <c r="O243" s="70">
        <v>4</v>
      </c>
      <c r="P243" s="70">
        <v>2</v>
      </c>
      <c r="Q243" s="70">
        <v>0</v>
      </c>
      <c r="R243" s="70">
        <v>2</v>
      </c>
      <c r="S243" s="70">
        <v>4</v>
      </c>
      <c r="T243" s="70">
        <v>3</v>
      </c>
      <c r="U243" s="70">
        <v>1</v>
      </c>
      <c r="V243" s="70">
        <v>2</v>
      </c>
      <c r="W243" s="71" t="s">
        <v>83</v>
      </c>
      <c r="X243" s="72">
        <v>0</v>
      </c>
    </row>
    <row r="244" spans="1:24">
      <c r="A244" s="10" t="s">
        <v>611</v>
      </c>
      <c r="B244" s="10" t="s">
        <v>240</v>
      </c>
      <c r="C244" s="13" t="s">
        <v>612</v>
      </c>
      <c r="D244" s="10" t="s">
        <v>23</v>
      </c>
      <c r="E244" s="10" t="s">
        <v>224</v>
      </c>
      <c r="F244" s="13" t="s">
        <v>33</v>
      </c>
      <c r="G244" s="10" t="s">
        <v>8</v>
      </c>
      <c r="H244" s="10" t="s">
        <v>90</v>
      </c>
      <c r="I244" s="10" t="s">
        <v>78</v>
      </c>
      <c r="J244" s="14" t="s">
        <v>79</v>
      </c>
      <c r="K244" s="15" t="s">
        <v>80</v>
      </c>
      <c r="L244" s="14" t="s">
        <v>81</v>
      </c>
      <c r="M244" s="72" t="s">
        <v>82</v>
      </c>
      <c r="N244" s="70">
        <v>1</v>
      </c>
      <c r="O244" s="70">
        <v>0</v>
      </c>
      <c r="P244" s="70">
        <v>0</v>
      </c>
      <c r="Q244" s="70">
        <v>0</v>
      </c>
      <c r="R244" s="70">
        <v>0</v>
      </c>
      <c r="S244" s="70">
        <v>1</v>
      </c>
      <c r="T244" s="70">
        <v>1</v>
      </c>
      <c r="U244" s="70">
        <v>0</v>
      </c>
      <c r="V244" s="70">
        <v>0</v>
      </c>
      <c r="W244" s="71" t="s">
        <v>83</v>
      </c>
      <c r="X244" s="72">
        <v>0</v>
      </c>
    </row>
    <row r="245" spans="1:24">
      <c r="A245" s="10" t="s">
        <v>613</v>
      </c>
      <c r="B245" s="10" t="s">
        <v>240</v>
      </c>
      <c r="C245" s="13" t="s">
        <v>614</v>
      </c>
      <c r="D245" s="10" t="s">
        <v>23</v>
      </c>
      <c r="E245" s="10" t="s">
        <v>224</v>
      </c>
      <c r="F245" s="13" t="s">
        <v>33</v>
      </c>
      <c r="G245" s="10" t="s">
        <v>8</v>
      </c>
      <c r="H245" s="10" t="s">
        <v>90</v>
      </c>
      <c r="I245" s="10" t="s">
        <v>78</v>
      </c>
      <c r="J245" s="14" t="s">
        <v>79</v>
      </c>
      <c r="K245" s="15" t="s">
        <v>80</v>
      </c>
      <c r="L245" s="14" t="s">
        <v>81</v>
      </c>
      <c r="M245" s="72" t="s">
        <v>124</v>
      </c>
      <c r="N245" s="70">
        <v>0</v>
      </c>
      <c r="O245" s="70">
        <v>0</v>
      </c>
      <c r="P245" s="70">
        <v>0</v>
      </c>
      <c r="Q245" s="70">
        <v>0</v>
      </c>
      <c r="R245" s="70">
        <v>0</v>
      </c>
      <c r="S245" s="70">
        <v>0</v>
      </c>
      <c r="T245" s="70">
        <v>1</v>
      </c>
      <c r="U245" s="70">
        <v>0</v>
      </c>
      <c r="V245" s="70">
        <v>0</v>
      </c>
      <c r="W245" s="71" t="s">
        <v>83</v>
      </c>
      <c r="X245" s="73" t="s">
        <v>209</v>
      </c>
    </row>
    <row r="246" spans="1:24">
      <c r="A246" s="10" t="s">
        <v>615</v>
      </c>
      <c r="B246" s="10" t="s">
        <v>240</v>
      </c>
      <c r="C246" s="13" t="s">
        <v>616</v>
      </c>
      <c r="D246" s="10" t="s">
        <v>23</v>
      </c>
      <c r="E246" s="10" t="s">
        <v>224</v>
      </c>
      <c r="F246" s="13" t="s">
        <v>33</v>
      </c>
      <c r="G246" s="10" t="s">
        <v>8</v>
      </c>
      <c r="H246" s="10" t="s">
        <v>90</v>
      </c>
      <c r="I246" s="10" t="s">
        <v>78</v>
      </c>
      <c r="J246" s="14" t="s">
        <v>79</v>
      </c>
      <c r="K246" s="15" t="s">
        <v>86</v>
      </c>
      <c r="L246" s="14" t="s">
        <v>87</v>
      </c>
      <c r="M246" s="72" t="s">
        <v>82</v>
      </c>
      <c r="N246" s="70">
        <v>1</v>
      </c>
      <c r="O246" s="70">
        <v>0</v>
      </c>
      <c r="P246" s="70">
        <v>0</v>
      </c>
      <c r="Q246" s="70">
        <v>0</v>
      </c>
      <c r="R246" s="70">
        <v>0</v>
      </c>
      <c r="S246" s="70">
        <v>1</v>
      </c>
      <c r="T246" s="70">
        <v>1</v>
      </c>
      <c r="U246" s="70">
        <v>0</v>
      </c>
      <c r="V246" s="70">
        <v>0</v>
      </c>
      <c r="W246" s="71" t="s">
        <v>83</v>
      </c>
      <c r="X246" s="72">
        <v>0</v>
      </c>
    </row>
    <row r="247" spans="1:24">
      <c r="A247" s="10" t="s">
        <v>617</v>
      </c>
      <c r="B247" s="10" t="s">
        <v>240</v>
      </c>
      <c r="C247" s="13" t="s">
        <v>618</v>
      </c>
      <c r="D247" s="10" t="s">
        <v>23</v>
      </c>
      <c r="E247" s="10" t="s">
        <v>224</v>
      </c>
      <c r="F247" s="13" t="s">
        <v>42</v>
      </c>
      <c r="G247" s="10" t="s">
        <v>8</v>
      </c>
      <c r="H247" s="10" t="s">
        <v>90</v>
      </c>
      <c r="I247" s="10" t="s">
        <v>78</v>
      </c>
      <c r="J247" s="14" t="s">
        <v>79</v>
      </c>
      <c r="K247" s="15" t="s">
        <v>80</v>
      </c>
      <c r="L247" s="14" t="s">
        <v>81</v>
      </c>
      <c r="M247" s="72" t="s">
        <v>82</v>
      </c>
      <c r="N247" s="70">
        <v>1</v>
      </c>
      <c r="O247" s="70">
        <v>0</v>
      </c>
      <c r="P247" s="70">
        <v>0</v>
      </c>
      <c r="Q247" s="70">
        <v>0</v>
      </c>
      <c r="R247" s="70">
        <v>0</v>
      </c>
      <c r="S247" s="70">
        <v>1</v>
      </c>
      <c r="T247" s="70">
        <v>1</v>
      </c>
      <c r="U247" s="70">
        <v>0</v>
      </c>
      <c r="V247" s="70">
        <v>0</v>
      </c>
      <c r="W247" s="71" t="s">
        <v>83</v>
      </c>
      <c r="X247" s="72">
        <v>0</v>
      </c>
    </row>
    <row r="248" spans="1:24">
      <c r="A248" s="10" t="s">
        <v>619</v>
      </c>
      <c r="B248" s="10" t="s">
        <v>240</v>
      </c>
      <c r="C248" s="13" t="s">
        <v>620</v>
      </c>
      <c r="D248" s="10" t="s">
        <v>23</v>
      </c>
      <c r="E248" s="10" t="s">
        <v>224</v>
      </c>
      <c r="F248" s="13" t="s">
        <v>41</v>
      </c>
      <c r="G248" s="10" t="s">
        <v>8</v>
      </c>
      <c r="H248" s="10" t="s">
        <v>179</v>
      </c>
      <c r="I248" s="10" t="s">
        <v>78</v>
      </c>
      <c r="J248" s="14" t="s">
        <v>79</v>
      </c>
      <c r="K248" s="15" t="s">
        <v>80</v>
      </c>
      <c r="L248" s="14" t="s">
        <v>81</v>
      </c>
      <c r="M248" s="72" t="s">
        <v>124</v>
      </c>
      <c r="N248" s="70">
        <v>0</v>
      </c>
      <c r="O248" s="70">
        <v>0</v>
      </c>
      <c r="P248" s="70">
        <v>0</v>
      </c>
      <c r="Q248" s="70">
        <v>0</v>
      </c>
      <c r="R248" s="70">
        <v>0</v>
      </c>
      <c r="S248" s="70">
        <v>0</v>
      </c>
      <c r="T248" s="70">
        <v>1</v>
      </c>
      <c r="U248" s="70">
        <v>0</v>
      </c>
      <c r="V248" s="70">
        <v>0</v>
      </c>
      <c r="W248" s="71" t="s">
        <v>83</v>
      </c>
      <c r="X248" s="73" t="s">
        <v>209</v>
      </c>
    </row>
    <row r="249" spans="1:24">
      <c r="A249" s="10" t="s">
        <v>621</v>
      </c>
      <c r="B249" s="10" t="s">
        <v>240</v>
      </c>
      <c r="C249" s="13" t="s">
        <v>622</v>
      </c>
      <c r="D249" s="10" t="s">
        <v>23</v>
      </c>
      <c r="E249" s="10" t="s">
        <v>224</v>
      </c>
      <c r="F249" s="13" t="s">
        <v>32</v>
      </c>
      <c r="G249" s="10" t="s">
        <v>7</v>
      </c>
      <c r="H249" s="10" t="s">
        <v>77</v>
      </c>
      <c r="I249" s="10" t="s">
        <v>78</v>
      </c>
      <c r="J249" s="14" t="s">
        <v>79</v>
      </c>
      <c r="K249" s="15" t="s">
        <v>80</v>
      </c>
      <c r="L249" s="14" t="s">
        <v>81</v>
      </c>
      <c r="M249" s="72" t="s">
        <v>124</v>
      </c>
      <c r="N249" s="70">
        <v>0</v>
      </c>
      <c r="O249" s="70">
        <v>0</v>
      </c>
      <c r="P249" s="70">
        <v>0</v>
      </c>
      <c r="Q249" s="70">
        <v>0</v>
      </c>
      <c r="R249" s="70">
        <v>0</v>
      </c>
      <c r="S249" s="70">
        <v>0</v>
      </c>
      <c r="T249" s="70">
        <v>0</v>
      </c>
      <c r="U249" s="70">
        <v>1</v>
      </c>
      <c r="V249" s="70">
        <v>0</v>
      </c>
      <c r="W249" s="71" t="s">
        <v>83</v>
      </c>
      <c r="X249" s="73" t="s">
        <v>138</v>
      </c>
    </row>
    <row r="250" spans="1:24">
      <c r="A250" s="10" t="s">
        <v>623</v>
      </c>
      <c r="B250" s="10" t="s">
        <v>240</v>
      </c>
      <c r="C250" s="13" t="s">
        <v>624</v>
      </c>
      <c r="D250" s="10" t="s">
        <v>23</v>
      </c>
      <c r="E250" s="10" t="s">
        <v>224</v>
      </c>
      <c r="F250" s="13" t="s">
        <v>32</v>
      </c>
      <c r="G250" s="10" t="s">
        <v>7</v>
      </c>
      <c r="H250" s="10" t="s">
        <v>90</v>
      </c>
      <c r="I250" s="10" t="s">
        <v>78</v>
      </c>
      <c r="J250" s="14" t="s">
        <v>79</v>
      </c>
      <c r="K250" s="15" t="s">
        <v>80</v>
      </c>
      <c r="L250" s="14" t="s">
        <v>81</v>
      </c>
      <c r="M250" s="72" t="s">
        <v>82</v>
      </c>
      <c r="N250" s="70">
        <v>1</v>
      </c>
      <c r="O250" s="70">
        <v>0</v>
      </c>
      <c r="P250" s="70">
        <v>0</v>
      </c>
      <c r="Q250" s="70">
        <v>0</v>
      </c>
      <c r="R250" s="70">
        <v>0</v>
      </c>
      <c r="S250" s="70">
        <v>1</v>
      </c>
      <c r="T250" s="70">
        <v>0</v>
      </c>
      <c r="U250" s="70">
        <v>0</v>
      </c>
      <c r="V250" s="70">
        <v>0</v>
      </c>
      <c r="W250" s="71" t="s">
        <v>83</v>
      </c>
      <c r="X250" s="72">
        <v>0</v>
      </c>
    </row>
    <row r="251" spans="1:24">
      <c r="A251" s="10" t="s">
        <v>625</v>
      </c>
      <c r="B251" s="10" t="s">
        <v>240</v>
      </c>
      <c r="C251" s="13" t="s">
        <v>626</v>
      </c>
      <c r="D251" s="10" t="s">
        <v>23</v>
      </c>
      <c r="E251" s="10" t="s">
        <v>224</v>
      </c>
      <c r="F251" s="13" t="s">
        <v>33</v>
      </c>
      <c r="G251" s="10" t="s">
        <v>8</v>
      </c>
      <c r="H251" s="10" t="s">
        <v>77</v>
      </c>
      <c r="I251" s="10" t="s">
        <v>78</v>
      </c>
      <c r="J251" s="14" t="s">
        <v>79</v>
      </c>
      <c r="K251" s="15" t="s">
        <v>80</v>
      </c>
      <c r="L251" s="14" t="s">
        <v>81</v>
      </c>
      <c r="M251" s="72" t="s">
        <v>82</v>
      </c>
      <c r="N251" s="70">
        <v>1</v>
      </c>
      <c r="O251" s="70">
        <v>0</v>
      </c>
      <c r="P251" s="70">
        <v>0</v>
      </c>
      <c r="Q251" s="70">
        <v>0</v>
      </c>
      <c r="R251" s="70">
        <v>0</v>
      </c>
      <c r="S251" s="70">
        <v>1</v>
      </c>
      <c r="T251" s="70">
        <v>1</v>
      </c>
      <c r="U251" s="70">
        <v>1</v>
      </c>
      <c r="V251" s="70">
        <v>0</v>
      </c>
      <c r="W251" s="71" t="s">
        <v>83</v>
      </c>
      <c r="X251" s="72">
        <v>0</v>
      </c>
    </row>
    <row r="252" spans="1:24">
      <c r="A252" s="10" t="s">
        <v>627</v>
      </c>
      <c r="B252" s="10" t="s">
        <v>240</v>
      </c>
      <c r="C252" s="13" t="s">
        <v>628</v>
      </c>
      <c r="D252" s="10" t="s">
        <v>23</v>
      </c>
      <c r="E252" s="10" t="s">
        <v>224</v>
      </c>
      <c r="F252" s="13" t="s">
        <v>32</v>
      </c>
      <c r="G252" s="10" t="s">
        <v>8</v>
      </c>
      <c r="H252" s="10" t="s">
        <v>77</v>
      </c>
      <c r="I252" s="10" t="s">
        <v>78</v>
      </c>
      <c r="J252" s="14" t="s">
        <v>79</v>
      </c>
      <c r="K252" s="15" t="s">
        <v>80</v>
      </c>
      <c r="L252" s="14" t="s">
        <v>81</v>
      </c>
      <c r="M252" s="72" t="s">
        <v>82</v>
      </c>
      <c r="N252" s="70">
        <v>1</v>
      </c>
      <c r="O252" s="70">
        <v>0</v>
      </c>
      <c r="P252" s="70">
        <v>0</v>
      </c>
      <c r="Q252" s="70">
        <v>0</v>
      </c>
      <c r="R252" s="70">
        <v>0</v>
      </c>
      <c r="S252" s="70">
        <v>1</v>
      </c>
      <c r="T252" s="70">
        <v>1</v>
      </c>
      <c r="U252" s="70">
        <v>1</v>
      </c>
      <c r="V252" s="70">
        <v>0</v>
      </c>
      <c r="W252" s="71" t="s">
        <v>83</v>
      </c>
      <c r="X252" s="72">
        <v>0</v>
      </c>
    </row>
    <row r="253" spans="1:24">
      <c r="A253" s="10" t="s">
        <v>629</v>
      </c>
      <c r="B253" s="10" t="s">
        <v>240</v>
      </c>
      <c r="C253" s="13" t="s">
        <v>630</v>
      </c>
      <c r="D253" s="10" t="s">
        <v>23</v>
      </c>
      <c r="E253" s="10" t="s">
        <v>224</v>
      </c>
      <c r="F253" s="13" t="s">
        <v>33</v>
      </c>
      <c r="G253" s="10" t="s">
        <v>8</v>
      </c>
      <c r="H253" s="10" t="s">
        <v>90</v>
      </c>
      <c r="I253" s="10" t="s">
        <v>128</v>
      </c>
      <c r="J253" s="14" t="s">
        <v>79</v>
      </c>
      <c r="K253" s="15" t="s">
        <v>80</v>
      </c>
      <c r="L253" s="14" t="s">
        <v>81</v>
      </c>
      <c r="M253" s="72" t="s">
        <v>124</v>
      </c>
      <c r="N253" s="70">
        <v>0</v>
      </c>
      <c r="O253" s="70">
        <v>0</v>
      </c>
      <c r="P253" s="70">
        <v>0</v>
      </c>
      <c r="Q253" s="70">
        <v>0</v>
      </c>
      <c r="R253" s="70">
        <v>0</v>
      </c>
      <c r="S253" s="70">
        <v>0</v>
      </c>
      <c r="T253" s="70">
        <v>1</v>
      </c>
      <c r="U253" s="70">
        <v>0</v>
      </c>
      <c r="V253" s="70">
        <v>1</v>
      </c>
      <c r="W253" s="71" t="s">
        <v>83</v>
      </c>
      <c r="X253" s="73" t="s">
        <v>631</v>
      </c>
    </row>
    <row r="254" spans="1:24">
      <c r="A254" s="10" t="s">
        <v>632</v>
      </c>
      <c r="B254" s="10" t="s">
        <v>240</v>
      </c>
      <c r="C254" s="13" t="s">
        <v>633</v>
      </c>
      <c r="D254" s="10" t="s">
        <v>23</v>
      </c>
      <c r="E254" s="10" t="s">
        <v>224</v>
      </c>
      <c r="F254" s="13" t="s">
        <v>37</v>
      </c>
      <c r="G254" s="10" t="s">
        <v>8</v>
      </c>
      <c r="H254" s="10" t="s">
        <v>77</v>
      </c>
      <c r="I254" s="10" t="s">
        <v>78</v>
      </c>
      <c r="J254" s="14" t="s">
        <v>79</v>
      </c>
      <c r="K254" s="15" t="s">
        <v>80</v>
      </c>
      <c r="L254" s="14" t="s">
        <v>81</v>
      </c>
      <c r="M254" s="72" t="s">
        <v>124</v>
      </c>
      <c r="N254" s="70">
        <v>0</v>
      </c>
      <c r="O254" s="70">
        <v>0</v>
      </c>
      <c r="P254" s="70">
        <v>0</v>
      </c>
      <c r="Q254" s="70">
        <v>0</v>
      </c>
      <c r="R254" s="70">
        <v>0</v>
      </c>
      <c r="S254" s="70">
        <v>0</v>
      </c>
      <c r="T254" s="70">
        <v>1</v>
      </c>
      <c r="U254" s="70">
        <v>1</v>
      </c>
      <c r="V254" s="70">
        <v>0</v>
      </c>
      <c r="W254" s="71" t="s">
        <v>83</v>
      </c>
      <c r="X254" s="73" t="s">
        <v>125</v>
      </c>
    </row>
    <row r="255" spans="1:24">
      <c r="A255" s="10" t="s">
        <v>634</v>
      </c>
      <c r="B255" s="10" t="s">
        <v>240</v>
      </c>
      <c r="C255" s="13" t="s">
        <v>635</v>
      </c>
      <c r="D255" s="10" t="s">
        <v>23</v>
      </c>
      <c r="E255" s="10" t="s">
        <v>224</v>
      </c>
      <c r="F255" s="13" t="s">
        <v>33</v>
      </c>
      <c r="G255" s="10" t="s">
        <v>8</v>
      </c>
      <c r="H255" s="10" t="s">
        <v>77</v>
      </c>
      <c r="I255" s="10" t="s">
        <v>78</v>
      </c>
      <c r="J255" s="14" t="s">
        <v>79</v>
      </c>
      <c r="K255" s="15" t="s">
        <v>86</v>
      </c>
      <c r="L255" s="14" t="s">
        <v>87</v>
      </c>
      <c r="M255" s="72" t="s">
        <v>124</v>
      </c>
      <c r="N255" s="70">
        <v>0</v>
      </c>
      <c r="O255" s="70">
        <v>0</v>
      </c>
      <c r="P255" s="70">
        <v>0</v>
      </c>
      <c r="Q255" s="70">
        <v>0</v>
      </c>
      <c r="R255" s="70">
        <v>0</v>
      </c>
      <c r="S255" s="70">
        <v>0</v>
      </c>
      <c r="T255" s="70">
        <v>1</v>
      </c>
      <c r="U255" s="70">
        <v>1</v>
      </c>
      <c r="V255" s="70">
        <v>0</v>
      </c>
      <c r="W255" s="71" t="s">
        <v>83</v>
      </c>
      <c r="X255" s="73" t="s">
        <v>125</v>
      </c>
    </row>
    <row r="256" spans="1:24">
      <c r="A256" s="10" t="s">
        <v>636</v>
      </c>
      <c r="B256" s="10" t="s">
        <v>240</v>
      </c>
      <c r="C256" s="13" t="s">
        <v>637</v>
      </c>
      <c r="D256" s="10" t="s">
        <v>23</v>
      </c>
      <c r="E256" s="10" t="s">
        <v>224</v>
      </c>
      <c r="F256" s="13" t="s">
        <v>33</v>
      </c>
      <c r="G256" s="10" t="s">
        <v>8</v>
      </c>
      <c r="H256" s="10" t="s">
        <v>77</v>
      </c>
      <c r="I256" s="10" t="s">
        <v>78</v>
      </c>
      <c r="J256" s="14" t="s">
        <v>79</v>
      </c>
      <c r="K256" s="15" t="s">
        <v>80</v>
      </c>
      <c r="L256" s="14" t="s">
        <v>81</v>
      </c>
      <c r="M256" s="72" t="s">
        <v>124</v>
      </c>
      <c r="N256" s="70">
        <v>0</v>
      </c>
      <c r="O256" s="70">
        <v>0</v>
      </c>
      <c r="P256" s="70">
        <v>0</v>
      </c>
      <c r="Q256" s="70">
        <v>0</v>
      </c>
      <c r="R256" s="70">
        <v>0</v>
      </c>
      <c r="S256" s="70">
        <v>0</v>
      </c>
      <c r="T256" s="70">
        <v>1</v>
      </c>
      <c r="U256" s="70">
        <v>1</v>
      </c>
      <c r="V256" s="70">
        <v>0</v>
      </c>
      <c r="W256" s="71" t="s">
        <v>83</v>
      </c>
      <c r="X256" s="73" t="s">
        <v>125</v>
      </c>
    </row>
    <row r="257" spans="1:24">
      <c r="A257" s="10" t="s">
        <v>638</v>
      </c>
      <c r="B257" s="10" t="s">
        <v>477</v>
      </c>
      <c r="C257" s="13" t="s">
        <v>639</v>
      </c>
      <c r="D257" s="10" t="s">
        <v>23</v>
      </c>
      <c r="E257" s="10" t="s">
        <v>224</v>
      </c>
      <c r="F257" s="13" t="s">
        <v>33</v>
      </c>
      <c r="G257" s="10" t="s">
        <v>8</v>
      </c>
      <c r="H257" s="10" t="s">
        <v>77</v>
      </c>
      <c r="I257" s="10" t="s">
        <v>78</v>
      </c>
      <c r="J257" s="14" t="s">
        <v>79</v>
      </c>
      <c r="K257" s="15" t="s">
        <v>80</v>
      </c>
      <c r="L257" s="14" t="s">
        <v>81</v>
      </c>
      <c r="M257" s="72" t="s">
        <v>82</v>
      </c>
      <c r="N257" s="70">
        <v>1</v>
      </c>
      <c r="O257" s="70">
        <v>15</v>
      </c>
      <c r="P257" s="70">
        <v>13</v>
      </c>
      <c r="Q257" s="70">
        <v>3</v>
      </c>
      <c r="R257" s="70">
        <v>0</v>
      </c>
      <c r="S257" s="70">
        <v>16</v>
      </c>
      <c r="T257" s="70">
        <v>14</v>
      </c>
      <c r="U257" s="70">
        <v>4</v>
      </c>
      <c r="V257" s="70">
        <v>0</v>
      </c>
      <c r="W257" s="71" t="s">
        <v>83</v>
      </c>
      <c r="X257" s="72">
        <v>0</v>
      </c>
    </row>
    <row r="258" spans="1:24">
      <c r="A258" s="10" t="s">
        <v>640</v>
      </c>
      <c r="B258" s="10" t="s">
        <v>240</v>
      </c>
      <c r="C258" s="13" t="s">
        <v>641</v>
      </c>
      <c r="D258" s="10" t="s">
        <v>23</v>
      </c>
      <c r="E258" s="10" t="s">
        <v>224</v>
      </c>
      <c r="F258" s="13" t="s">
        <v>42</v>
      </c>
      <c r="G258" s="10" t="s">
        <v>8</v>
      </c>
      <c r="H258" s="10" t="s">
        <v>90</v>
      </c>
      <c r="I258" s="10" t="s">
        <v>78</v>
      </c>
      <c r="J258" s="14" t="s">
        <v>79</v>
      </c>
      <c r="K258" s="15" t="s">
        <v>86</v>
      </c>
      <c r="L258" s="14" t="s">
        <v>87</v>
      </c>
      <c r="M258" s="72" t="s">
        <v>124</v>
      </c>
      <c r="N258" s="70">
        <v>0</v>
      </c>
      <c r="O258" s="70">
        <v>0</v>
      </c>
      <c r="P258" s="70">
        <v>0</v>
      </c>
      <c r="Q258" s="70">
        <v>0</v>
      </c>
      <c r="R258" s="70">
        <v>0</v>
      </c>
      <c r="S258" s="70">
        <v>0</v>
      </c>
      <c r="T258" s="70">
        <v>1</v>
      </c>
      <c r="U258" s="70">
        <v>0</v>
      </c>
      <c r="V258" s="70">
        <v>0</v>
      </c>
      <c r="W258" s="71" t="s">
        <v>83</v>
      </c>
      <c r="X258" s="73" t="s">
        <v>209</v>
      </c>
    </row>
    <row r="259" spans="1:24">
      <c r="A259" s="10" t="s">
        <v>642</v>
      </c>
      <c r="B259" s="10" t="s">
        <v>251</v>
      </c>
      <c r="C259" s="13" t="s">
        <v>643</v>
      </c>
      <c r="D259" s="10" t="s">
        <v>15</v>
      </c>
      <c r="E259" s="10" t="s">
        <v>253</v>
      </c>
      <c r="F259" s="13" t="s">
        <v>36</v>
      </c>
      <c r="G259" s="10" t="s">
        <v>7</v>
      </c>
      <c r="H259" s="10" t="s">
        <v>77</v>
      </c>
      <c r="I259" s="10" t="s">
        <v>78</v>
      </c>
      <c r="J259" s="14" t="s">
        <v>79</v>
      </c>
      <c r="K259" s="15" t="s">
        <v>80</v>
      </c>
      <c r="L259" s="14" t="s">
        <v>81</v>
      </c>
      <c r="M259" s="72" t="s">
        <v>82</v>
      </c>
      <c r="N259" s="70">
        <v>1</v>
      </c>
      <c r="O259" s="70">
        <v>12</v>
      </c>
      <c r="P259" s="70">
        <v>1</v>
      </c>
      <c r="Q259" s="70">
        <v>6</v>
      </c>
      <c r="R259" s="70">
        <v>0</v>
      </c>
      <c r="S259" s="70">
        <v>13</v>
      </c>
      <c r="T259" s="70">
        <v>1</v>
      </c>
      <c r="U259" s="70">
        <v>7</v>
      </c>
      <c r="V259" s="70">
        <v>0</v>
      </c>
      <c r="W259" s="74" t="s">
        <v>254</v>
      </c>
      <c r="X259" s="72">
        <v>0</v>
      </c>
    </row>
    <row r="260" spans="1:24">
      <c r="A260" s="10" t="s">
        <v>644</v>
      </c>
      <c r="B260" s="10" t="s">
        <v>251</v>
      </c>
      <c r="C260" s="13" t="s">
        <v>645</v>
      </c>
      <c r="D260" s="10" t="s">
        <v>15</v>
      </c>
      <c r="E260" s="10" t="s">
        <v>253</v>
      </c>
      <c r="F260" s="13" t="s">
        <v>41</v>
      </c>
      <c r="G260" s="10" t="s">
        <v>7</v>
      </c>
      <c r="H260" s="10" t="s">
        <v>77</v>
      </c>
      <c r="I260" s="10" t="s">
        <v>78</v>
      </c>
      <c r="J260" s="14" t="s">
        <v>79</v>
      </c>
      <c r="K260" s="15" t="s">
        <v>86</v>
      </c>
      <c r="L260" s="14" t="s">
        <v>87</v>
      </c>
      <c r="M260" s="72" t="s">
        <v>82</v>
      </c>
      <c r="N260" s="70">
        <v>1</v>
      </c>
      <c r="O260" s="70">
        <v>30</v>
      </c>
      <c r="P260" s="70">
        <v>22</v>
      </c>
      <c r="Q260" s="70">
        <v>4</v>
      </c>
      <c r="R260" s="70">
        <v>0</v>
      </c>
      <c r="S260" s="70">
        <v>31</v>
      </c>
      <c r="T260" s="70">
        <v>22</v>
      </c>
      <c r="U260" s="70">
        <v>5</v>
      </c>
      <c r="V260" s="70">
        <v>0</v>
      </c>
      <c r="W260" s="74" t="s">
        <v>254</v>
      </c>
      <c r="X260" s="72">
        <v>0</v>
      </c>
    </row>
    <row r="261" spans="1:24">
      <c r="A261" s="10" t="s">
        <v>646</v>
      </c>
      <c r="B261" s="10" t="s">
        <v>251</v>
      </c>
      <c r="C261" s="13" t="s">
        <v>647</v>
      </c>
      <c r="D261" s="10" t="s">
        <v>15</v>
      </c>
      <c r="E261" s="10" t="s">
        <v>253</v>
      </c>
      <c r="F261" s="13" t="s">
        <v>33</v>
      </c>
      <c r="G261" s="10" t="s">
        <v>7</v>
      </c>
      <c r="H261" s="10" t="s">
        <v>77</v>
      </c>
      <c r="I261" s="10" t="s">
        <v>78</v>
      </c>
      <c r="J261" s="14" t="s">
        <v>79</v>
      </c>
      <c r="K261" s="15" t="s">
        <v>86</v>
      </c>
      <c r="L261" s="14" t="s">
        <v>87</v>
      </c>
      <c r="M261" s="72" t="s">
        <v>82</v>
      </c>
      <c r="N261" s="70">
        <v>1</v>
      </c>
      <c r="O261" s="70">
        <v>2</v>
      </c>
      <c r="P261" s="70">
        <v>2</v>
      </c>
      <c r="Q261" s="70">
        <v>2</v>
      </c>
      <c r="R261" s="70">
        <v>0</v>
      </c>
      <c r="S261" s="70">
        <v>3</v>
      </c>
      <c r="T261" s="70">
        <v>2</v>
      </c>
      <c r="U261" s="70">
        <v>3</v>
      </c>
      <c r="V261" s="70">
        <v>0</v>
      </c>
      <c r="W261" s="74" t="s">
        <v>254</v>
      </c>
      <c r="X261" s="72">
        <v>0</v>
      </c>
    </row>
    <row r="262" spans="1:24">
      <c r="A262" s="10" t="s">
        <v>648</v>
      </c>
      <c r="B262" s="10" t="s">
        <v>251</v>
      </c>
      <c r="C262" s="13" t="s">
        <v>649</v>
      </c>
      <c r="D262" s="10" t="s">
        <v>16</v>
      </c>
      <c r="E262" s="10" t="s">
        <v>253</v>
      </c>
      <c r="F262" s="13" t="s">
        <v>38</v>
      </c>
      <c r="G262" s="10" t="s">
        <v>7</v>
      </c>
      <c r="H262" s="10" t="s">
        <v>77</v>
      </c>
      <c r="I262" s="10" t="s">
        <v>78</v>
      </c>
      <c r="J262" s="14" t="s">
        <v>79</v>
      </c>
      <c r="K262" s="15" t="s">
        <v>80</v>
      </c>
      <c r="L262" s="14" t="s">
        <v>81</v>
      </c>
      <c r="M262" s="72" t="s">
        <v>82</v>
      </c>
      <c r="N262" s="70">
        <v>1</v>
      </c>
      <c r="O262" s="70">
        <v>3</v>
      </c>
      <c r="P262" s="70">
        <v>1</v>
      </c>
      <c r="Q262" s="70">
        <v>1</v>
      </c>
      <c r="R262" s="70">
        <v>0</v>
      </c>
      <c r="S262" s="70">
        <v>4</v>
      </c>
      <c r="T262" s="70">
        <v>1</v>
      </c>
      <c r="U262" s="70">
        <v>2</v>
      </c>
      <c r="V262" s="70">
        <v>0</v>
      </c>
      <c r="W262" s="74" t="s">
        <v>254</v>
      </c>
      <c r="X262" s="72">
        <v>0</v>
      </c>
    </row>
    <row r="263" spans="1:24">
      <c r="A263" s="10" t="s">
        <v>650</v>
      </c>
      <c r="B263" s="10" t="s">
        <v>251</v>
      </c>
      <c r="C263" s="13" t="s">
        <v>651</v>
      </c>
      <c r="D263" s="10" t="s">
        <v>16</v>
      </c>
      <c r="E263" s="10" t="s">
        <v>253</v>
      </c>
      <c r="F263" s="13" t="s">
        <v>33</v>
      </c>
      <c r="G263" s="10" t="s">
        <v>7</v>
      </c>
      <c r="H263" s="10" t="s">
        <v>77</v>
      </c>
      <c r="I263" s="10" t="s">
        <v>78</v>
      </c>
      <c r="J263" s="14" t="s">
        <v>79</v>
      </c>
      <c r="K263" s="15" t="s">
        <v>80</v>
      </c>
      <c r="L263" s="14" t="s">
        <v>81</v>
      </c>
      <c r="M263" s="72" t="s">
        <v>82</v>
      </c>
      <c r="N263" s="70">
        <v>1</v>
      </c>
      <c r="O263" s="70">
        <v>3</v>
      </c>
      <c r="P263" s="70">
        <v>1</v>
      </c>
      <c r="Q263" s="70">
        <v>1</v>
      </c>
      <c r="R263" s="70">
        <v>0</v>
      </c>
      <c r="S263" s="70">
        <v>4</v>
      </c>
      <c r="T263" s="70">
        <v>1</v>
      </c>
      <c r="U263" s="70">
        <v>2</v>
      </c>
      <c r="V263" s="70">
        <v>0</v>
      </c>
      <c r="W263" s="74" t="s">
        <v>254</v>
      </c>
      <c r="X263" s="72">
        <v>0</v>
      </c>
    </row>
    <row r="264" spans="1:24">
      <c r="A264" s="10" t="s">
        <v>652</v>
      </c>
      <c r="B264" s="10" t="s">
        <v>251</v>
      </c>
      <c r="C264" s="13" t="s">
        <v>653</v>
      </c>
      <c r="D264" s="10" t="s">
        <v>16</v>
      </c>
      <c r="E264" s="10" t="s">
        <v>253</v>
      </c>
      <c r="F264" s="13" t="s">
        <v>33</v>
      </c>
      <c r="G264" s="10" t="s">
        <v>8</v>
      </c>
      <c r="H264" s="10" t="s">
        <v>77</v>
      </c>
      <c r="I264" s="10" t="s">
        <v>78</v>
      </c>
      <c r="J264" s="14" t="s">
        <v>79</v>
      </c>
      <c r="K264" s="15" t="s">
        <v>86</v>
      </c>
      <c r="L264" s="14" t="s">
        <v>87</v>
      </c>
      <c r="M264" s="72" t="s">
        <v>82</v>
      </c>
      <c r="N264" s="70">
        <v>1</v>
      </c>
      <c r="O264" s="70">
        <v>1</v>
      </c>
      <c r="P264" s="70">
        <v>0</v>
      </c>
      <c r="Q264" s="70">
        <v>0</v>
      </c>
      <c r="R264" s="70">
        <v>0</v>
      </c>
      <c r="S264" s="70">
        <v>2</v>
      </c>
      <c r="T264" s="70">
        <v>1</v>
      </c>
      <c r="U264" s="70">
        <v>1</v>
      </c>
      <c r="V264" s="70">
        <v>0</v>
      </c>
      <c r="W264" s="74" t="s">
        <v>254</v>
      </c>
      <c r="X264" s="72">
        <v>0</v>
      </c>
    </row>
    <row r="265" spans="1:24">
      <c r="A265" s="10" t="s">
        <v>654</v>
      </c>
      <c r="B265" s="10" t="s">
        <v>251</v>
      </c>
      <c r="C265" s="13" t="s">
        <v>655</v>
      </c>
      <c r="D265" s="10" t="s">
        <v>19</v>
      </c>
      <c r="E265" s="10" t="s">
        <v>253</v>
      </c>
      <c r="F265" s="13" t="s">
        <v>40</v>
      </c>
      <c r="G265" s="10" t="s">
        <v>8</v>
      </c>
      <c r="H265" s="10" t="s">
        <v>77</v>
      </c>
      <c r="I265" s="10" t="s">
        <v>78</v>
      </c>
      <c r="J265" s="14" t="s">
        <v>79</v>
      </c>
      <c r="K265" s="15" t="s">
        <v>80</v>
      </c>
      <c r="L265" s="14" t="s">
        <v>81</v>
      </c>
      <c r="M265" s="72" t="s">
        <v>82</v>
      </c>
      <c r="N265" s="70">
        <v>1</v>
      </c>
      <c r="O265" s="70">
        <v>12</v>
      </c>
      <c r="P265" s="70">
        <v>12</v>
      </c>
      <c r="Q265" s="70">
        <v>2</v>
      </c>
      <c r="R265" s="70">
        <v>0</v>
      </c>
      <c r="S265" s="70">
        <v>13</v>
      </c>
      <c r="T265" s="70">
        <v>13</v>
      </c>
      <c r="U265" s="70">
        <v>3</v>
      </c>
      <c r="V265" s="70">
        <v>0</v>
      </c>
      <c r="W265" s="74" t="s">
        <v>254</v>
      </c>
      <c r="X265" s="72">
        <v>0</v>
      </c>
    </row>
    <row r="266" spans="1:24">
      <c r="A266" s="10" t="s">
        <v>656</v>
      </c>
      <c r="B266" s="10" t="s">
        <v>251</v>
      </c>
      <c r="C266" s="13" t="s">
        <v>657</v>
      </c>
      <c r="D266" s="10" t="s">
        <v>23</v>
      </c>
      <c r="E266" s="10" t="s">
        <v>253</v>
      </c>
      <c r="F266" s="13" t="s">
        <v>33</v>
      </c>
      <c r="G266" s="10" t="s">
        <v>7</v>
      </c>
      <c r="H266" s="10" t="s">
        <v>90</v>
      </c>
      <c r="I266" s="10" t="s">
        <v>78</v>
      </c>
      <c r="J266" s="14" t="s">
        <v>79</v>
      </c>
      <c r="K266" s="15" t="s">
        <v>80</v>
      </c>
      <c r="L266" s="14" t="s">
        <v>81</v>
      </c>
      <c r="M266" s="72" t="s">
        <v>82</v>
      </c>
      <c r="N266" s="70">
        <v>1</v>
      </c>
      <c r="O266" s="70">
        <v>18</v>
      </c>
      <c r="P266" s="70">
        <v>2</v>
      </c>
      <c r="Q266" s="70">
        <v>5</v>
      </c>
      <c r="R266" s="70">
        <v>6</v>
      </c>
      <c r="S266" s="70">
        <v>19</v>
      </c>
      <c r="T266" s="70">
        <v>2</v>
      </c>
      <c r="U266" s="70">
        <v>5</v>
      </c>
      <c r="V266" s="70">
        <v>6</v>
      </c>
      <c r="W266" s="74" t="s">
        <v>254</v>
      </c>
      <c r="X266" s="72">
        <v>0</v>
      </c>
    </row>
    <row r="267" spans="1:24">
      <c r="A267" s="10" t="s">
        <v>658</v>
      </c>
      <c r="B267" s="10" t="s">
        <v>74</v>
      </c>
      <c r="C267" s="13" t="s">
        <v>659</v>
      </c>
      <c r="D267" s="10" t="s">
        <v>14</v>
      </c>
      <c r="E267" s="10" t="s">
        <v>660</v>
      </c>
      <c r="F267" s="13" t="s">
        <v>33</v>
      </c>
      <c r="G267" s="10" t="s">
        <v>7</v>
      </c>
      <c r="H267" s="10" t="s">
        <v>77</v>
      </c>
      <c r="I267" s="10" t="s">
        <v>128</v>
      </c>
      <c r="J267" s="14" t="s">
        <v>79</v>
      </c>
      <c r="K267" s="15" t="s">
        <v>86</v>
      </c>
      <c r="L267" s="14" t="s">
        <v>87</v>
      </c>
      <c r="M267" s="72" t="s">
        <v>82</v>
      </c>
      <c r="N267" s="70">
        <v>1</v>
      </c>
      <c r="O267" s="70">
        <v>1</v>
      </c>
      <c r="P267" s="70">
        <v>0</v>
      </c>
      <c r="Q267" s="70">
        <v>0</v>
      </c>
      <c r="R267" s="70">
        <v>0</v>
      </c>
      <c r="S267" s="70">
        <v>2</v>
      </c>
      <c r="T267" s="70">
        <v>0</v>
      </c>
      <c r="U267" s="70">
        <v>1</v>
      </c>
      <c r="V267" s="70">
        <v>1</v>
      </c>
      <c r="W267" s="71" t="s">
        <v>83</v>
      </c>
      <c r="X267" s="72">
        <v>0</v>
      </c>
    </row>
    <row r="268" spans="1:24">
      <c r="A268" s="10" t="s">
        <v>661</v>
      </c>
      <c r="B268" s="10" t="s">
        <v>98</v>
      </c>
      <c r="C268" s="13" t="s">
        <v>662</v>
      </c>
      <c r="D268" s="10" t="s">
        <v>14</v>
      </c>
      <c r="E268" s="10" t="s">
        <v>660</v>
      </c>
      <c r="F268" s="13" t="s">
        <v>31</v>
      </c>
      <c r="G268" s="10" t="s">
        <v>8</v>
      </c>
      <c r="H268" s="10" t="s">
        <v>90</v>
      </c>
      <c r="I268" s="10" t="s">
        <v>78</v>
      </c>
      <c r="J268" s="14" t="s">
        <v>79</v>
      </c>
      <c r="K268" s="15" t="s">
        <v>86</v>
      </c>
      <c r="L268" s="14" t="s">
        <v>87</v>
      </c>
      <c r="M268" s="72" t="s">
        <v>82</v>
      </c>
      <c r="N268" s="70">
        <v>1</v>
      </c>
      <c r="O268" s="70">
        <v>2</v>
      </c>
      <c r="P268" s="70">
        <v>2</v>
      </c>
      <c r="Q268" s="70">
        <v>1</v>
      </c>
      <c r="R268" s="70">
        <v>0</v>
      </c>
      <c r="S268" s="70">
        <v>3</v>
      </c>
      <c r="T268" s="70">
        <v>3</v>
      </c>
      <c r="U268" s="70">
        <v>1</v>
      </c>
      <c r="V268" s="70">
        <v>0</v>
      </c>
      <c r="W268" s="71" t="s">
        <v>83</v>
      </c>
      <c r="X268" s="72">
        <v>0</v>
      </c>
    </row>
    <row r="269" spans="1:24">
      <c r="A269" s="10" t="s">
        <v>663</v>
      </c>
      <c r="B269" s="10" t="s">
        <v>489</v>
      </c>
      <c r="C269" s="13" t="s">
        <v>664</v>
      </c>
      <c r="D269" s="10" t="s">
        <v>15</v>
      </c>
      <c r="E269" s="10" t="s">
        <v>660</v>
      </c>
      <c r="F269" s="13" t="s">
        <v>45</v>
      </c>
      <c r="G269" s="10" t="s">
        <v>7</v>
      </c>
      <c r="H269" s="10" t="s">
        <v>77</v>
      </c>
      <c r="I269" s="10" t="s">
        <v>78</v>
      </c>
      <c r="J269" s="14" t="s">
        <v>79</v>
      </c>
      <c r="K269" s="15" t="s">
        <v>86</v>
      </c>
      <c r="L269" s="14" t="s">
        <v>87</v>
      </c>
      <c r="M269" s="72" t="s">
        <v>82</v>
      </c>
      <c r="N269" s="70">
        <v>1</v>
      </c>
      <c r="O269" s="70">
        <v>4</v>
      </c>
      <c r="P269" s="70">
        <v>2</v>
      </c>
      <c r="Q269" s="70">
        <v>10</v>
      </c>
      <c r="R269" s="70">
        <v>0</v>
      </c>
      <c r="S269" s="70">
        <v>5</v>
      </c>
      <c r="T269" s="70">
        <v>2</v>
      </c>
      <c r="U269" s="70">
        <v>11</v>
      </c>
      <c r="V269" s="70">
        <v>0</v>
      </c>
      <c r="W269" s="74" t="s">
        <v>254</v>
      </c>
      <c r="X269" s="73" t="s">
        <v>285</v>
      </c>
    </row>
    <row r="270" spans="1:24">
      <c r="A270" s="10" t="s">
        <v>665</v>
      </c>
      <c r="B270" s="10" t="s">
        <v>222</v>
      </c>
      <c r="C270" s="13" t="s">
        <v>666</v>
      </c>
      <c r="D270" s="10" t="s">
        <v>16</v>
      </c>
      <c r="E270" s="10" t="s">
        <v>660</v>
      </c>
      <c r="F270" s="13" t="s">
        <v>39</v>
      </c>
      <c r="G270" s="10" t="s">
        <v>7</v>
      </c>
      <c r="H270" s="10" t="s">
        <v>77</v>
      </c>
      <c r="I270" s="10" t="s">
        <v>78</v>
      </c>
      <c r="J270" s="14" t="s">
        <v>79</v>
      </c>
      <c r="K270" s="15" t="s">
        <v>86</v>
      </c>
      <c r="L270" s="14" t="s">
        <v>87</v>
      </c>
      <c r="M270" s="72" t="s">
        <v>82</v>
      </c>
      <c r="N270" s="70">
        <v>1</v>
      </c>
      <c r="O270" s="70">
        <v>0</v>
      </c>
      <c r="P270" s="70">
        <v>0</v>
      </c>
      <c r="Q270" s="70">
        <v>0</v>
      </c>
      <c r="R270" s="70">
        <v>0</v>
      </c>
      <c r="S270" s="70">
        <v>1</v>
      </c>
      <c r="T270" s="70">
        <v>0</v>
      </c>
      <c r="U270" s="70">
        <v>1</v>
      </c>
      <c r="V270" s="70">
        <v>0</v>
      </c>
      <c r="W270" s="71" t="s">
        <v>83</v>
      </c>
      <c r="X270" s="73">
        <v>0</v>
      </c>
    </row>
    <row r="271" spans="1:24">
      <c r="A271" s="10" t="s">
        <v>667</v>
      </c>
      <c r="B271" s="10" t="s">
        <v>149</v>
      </c>
      <c r="C271" s="13" t="s">
        <v>668</v>
      </c>
      <c r="D271" s="10" t="s">
        <v>18</v>
      </c>
      <c r="E271" s="10" t="s">
        <v>660</v>
      </c>
      <c r="F271" s="13" t="s">
        <v>33</v>
      </c>
      <c r="G271" s="10" t="s">
        <v>7</v>
      </c>
      <c r="H271" s="10" t="s">
        <v>77</v>
      </c>
      <c r="I271" s="10" t="s">
        <v>128</v>
      </c>
      <c r="J271" s="14" t="s">
        <v>79</v>
      </c>
      <c r="K271" s="15" t="s">
        <v>86</v>
      </c>
      <c r="L271" s="14" t="s">
        <v>87</v>
      </c>
      <c r="M271" s="72" t="s">
        <v>82</v>
      </c>
      <c r="N271" s="70">
        <v>1</v>
      </c>
      <c r="O271" s="70">
        <v>0</v>
      </c>
      <c r="P271" s="70">
        <v>0</v>
      </c>
      <c r="Q271" s="70">
        <v>0</v>
      </c>
      <c r="R271" s="70">
        <v>0</v>
      </c>
      <c r="S271" s="70">
        <v>1</v>
      </c>
      <c r="T271" s="70">
        <v>0</v>
      </c>
      <c r="U271" s="70">
        <v>1</v>
      </c>
      <c r="V271" s="70">
        <v>1</v>
      </c>
      <c r="W271" s="71" t="s">
        <v>83</v>
      </c>
      <c r="X271" s="73">
        <v>0</v>
      </c>
    </row>
    <row r="272" spans="1:24">
      <c r="A272" s="10" t="s">
        <v>669</v>
      </c>
      <c r="B272" s="10" t="s">
        <v>159</v>
      </c>
      <c r="C272" s="13" t="s">
        <v>670</v>
      </c>
      <c r="D272" s="10" t="s">
        <v>19</v>
      </c>
      <c r="E272" s="10" t="s">
        <v>660</v>
      </c>
      <c r="F272" s="13" t="s">
        <v>39</v>
      </c>
      <c r="G272" s="10" t="s">
        <v>8</v>
      </c>
      <c r="H272" s="10" t="s">
        <v>77</v>
      </c>
      <c r="I272" s="10" t="s">
        <v>78</v>
      </c>
      <c r="J272" s="14" t="s">
        <v>79</v>
      </c>
      <c r="K272" s="15" t="s">
        <v>80</v>
      </c>
      <c r="L272" s="14" t="s">
        <v>81</v>
      </c>
      <c r="M272" s="72" t="s">
        <v>82</v>
      </c>
      <c r="N272" s="70">
        <v>1</v>
      </c>
      <c r="O272" s="70">
        <v>3</v>
      </c>
      <c r="P272" s="70">
        <v>1</v>
      </c>
      <c r="Q272" s="70">
        <v>1</v>
      </c>
      <c r="R272" s="70">
        <v>0</v>
      </c>
      <c r="S272" s="70">
        <v>4</v>
      </c>
      <c r="T272" s="70">
        <v>2</v>
      </c>
      <c r="U272" s="70">
        <v>2</v>
      </c>
      <c r="V272" s="70">
        <v>0</v>
      </c>
      <c r="W272" s="71" t="s">
        <v>83</v>
      </c>
      <c r="X272" s="73">
        <v>0</v>
      </c>
    </row>
    <row r="273" spans="1:24">
      <c r="A273" s="10" t="s">
        <v>671</v>
      </c>
      <c r="B273" s="10" t="s">
        <v>98</v>
      </c>
      <c r="C273" s="13" t="s">
        <v>672</v>
      </c>
      <c r="D273" s="10" t="s">
        <v>19</v>
      </c>
      <c r="E273" s="10" t="s">
        <v>660</v>
      </c>
      <c r="F273" s="13" t="s">
        <v>32</v>
      </c>
      <c r="G273" s="10" t="s">
        <v>8</v>
      </c>
      <c r="H273" s="10" t="s">
        <v>90</v>
      </c>
      <c r="I273" s="10" t="s">
        <v>78</v>
      </c>
      <c r="J273" s="14" t="s">
        <v>79</v>
      </c>
      <c r="K273" s="15" t="s">
        <v>86</v>
      </c>
      <c r="L273" s="14" t="s">
        <v>87</v>
      </c>
      <c r="M273" s="72" t="s">
        <v>82</v>
      </c>
      <c r="N273" s="70">
        <v>1</v>
      </c>
      <c r="O273" s="70">
        <v>2</v>
      </c>
      <c r="P273" s="70">
        <v>2</v>
      </c>
      <c r="Q273" s="70">
        <v>0</v>
      </c>
      <c r="R273" s="70">
        <v>0</v>
      </c>
      <c r="S273" s="70">
        <v>3</v>
      </c>
      <c r="T273" s="70">
        <v>3</v>
      </c>
      <c r="U273" s="70">
        <v>0</v>
      </c>
      <c r="V273" s="70">
        <v>0</v>
      </c>
      <c r="W273" s="71" t="s">
        <v>83</v>
      </c>
      <c r="X273" s="73">
        <v>0</v>
      </c>
    </row>
    <row r="274" spans="1:24">
      <c r="A274" s="10" t="s">
        <v>673</v>
      </c>
      <c r="B274" s="10" t="s">
        <v>236</v>
      </c>
      <c r="C274" s="13" t="s">
        <v>674</v>
      </c>
      <c r="D274" s="10" t="s">
        <v>19</v>
      </c>
      <c r="E274" s="10" t="s">
        <v>660</v>
      </c>
      <c r="F274" s="13" t="s">
        <v>32</v>
      </c>
      <c r="G274" s="10" t="s">
        <v>8</v>
      </c>
      <c r="H274" s="10" t="s">
        <v>77</v>
      </c>
      <c r="I274" s="10" t="s">
        <v>78</v>
      </c>
      <c r="J274" s="14" t="s">
        <v>79</v>
      </c>
      <c r="K274" s="15" t="s">
        <v>86</v>
      </c>
      <c r="L274" s="14" t="s">
        <v>87</v>
      </c>
      <c r="M274" s="72" t="s">
        <v>124</v>
      </c>
      <c r="N274" s="70">
        <v>0</v>
      </c>
      <c r="O274" s="70">
        <v>0</v>
      </c>
      <c r="P274" s="70">
        <v>0</v>
      </c>
      <c r="Q274" s="70">
        <v>0</v>
      </c>
      <c r="R274" s="70">
        <v>0</v>
      </c>
      <c r="S274" s="70">
        <v>0</v>
      </c>
      <c r="T274" s="70">
        <v>1</v>
      </c>
      <c r="U274" s="70">
        <v>1</v>
      </c>
      <c r="V274" s="70">
        <v>0</v>
      </c>
      <c r="W274" s="71" t="s">
        <v>83</v>
      </c>
      <c r="X274" s="73" t="s">
        <v>125</v>
      </c>
    </row>
    <row r="275" spans="1:24">
      <c r="A275" s="10" t="s">
        <v>675</v>
      </c>
      <c r="B275" s="10" t="s">
        <v>236</v>
      </c>
      <c r="C275" s="13" t="s">
        <v>676</v>
      </c>
      <c r="D275" s="10" t="s">
        <v>19</v>
      </c>
      <c r="E275" s="10" t="s">
        <v>660</v>
      </c>
      <c r="F275" s="13" t="s">
        <v>33</v>
      </c>
      <c r="G275" s="10" t="s">
        <v>8</v>
      </c>
      <c r="H275" s="10" t="s">
        <v>77</v>
      </c>
      <c r="I275" s="10" t="s">
        <v>78</v>
      </c>
      <c r="J275" s="14" t="s">
        <v>79</v>
      </c>
      <c r="K275" s="15" t="s">
        <v>86</v>
      </c>
      <c r="L275" s="14" t="s">
        <v>87</v>
      </c>
      <c r="M275" s="72" t="s">
        <v>124</v>
      </c>
      <c r="N275" s="70">
        <v>0</v>
      </c>
      <c r="O275" s="70">
        <v>0</v>
      </c>
      <c r="P275" s="70">
        <v>0</v>
      </c>
      <c r="Q275" s="70">
        <v>0</v>
      </c>
      <c r="R275" s="70">
        <v>0</v>
      </c>
      <c r="S275" s="70">
        <v>0</v>
      </c>
      <c r="T275" s="70">
        <v>1</v>
      </c>
      <c r="U275" s="70">
        <v>1</v>
      </c>
      <c r="V275" s="70">
        <v>0</v>
      </c>
      <c r="W275" s="71" t="s">
        <v>83</v>
      </c>
      <c r="X275" s="73" t="s">
        <v>125</v>
      </c>
    </row>
    <row r="276" spans="1:24">
      <c r="A276" s="10" t="s">
        <v>677</v>
      </c>
      <c r="B276" s="10" t="s">
        <v>236</v>
      </c>
      <c r="C276" s="13" t="s">
        <v>678</v>
      </c>
      <c r="D276" s="10" t="s">
        <v>19</v>
      </c>
      <c r="E276" s="10" t="s">
        <v>660</v>
      </c>
      <c r="F276" s="13" t="s">
        <v>33</v>
      </c>
      <c r="G276" s="10" t="s">
        <v>7</v>
      </c>
      <c r="H276" s="10" t="s">
        <v>77</v>
      </c>
      <c r="I276" s="10" t="s">
        <v>128</v>
      </c>
      <c r="J276" s="14" t="s">
        <v>79</v>
      </c>
      <c r="K276" s="15" t="s">
        <v>86</v>
      </c>
      <c r="L276" s="14" t="s">
        <v>87</v>
      </c>
      <c r="M276" s="72" t="s">
        <v>124</v>
      </c>
      <c r="N276" s="70">
        <v>0</v>
      </c>
      <c r="O276" s="70">
        <v>0</v>
      </c>
      <c r="P276" s="70">
        <v>0</v>
      </c>
      <c r="Q276" s="70">
        <v>0</v>
      </c>
      <c r="R276" s="70">
        <v>0</v>
      </c>
      <c r="S276" s="70">
        <v>0</v>
      </c>
      <c r="T276" s="70">
        <v>0</v>
      </c>
      <c r="U276" s="70">
        <v>1</v>
      </c>
      <c r="V276" s="70">
        <v>1</v>
      </c>
      <c r="W276" s="71" t="s">
        <v>83</v>
      </c>
      <c r="X276" s="73" t="s">
        <v>571</v>
      </c>
    </row>
    <row r="277" spans="1:24">
      <c r="A277" s="10" t="s">
        <v>679</v>
      </c>
      <c r="B277" s="10" t="s">
        <v>236</v>
      </c>
      <c r="C277" s="13" t="s">
        <v>680</v>
      </c>
      <c r="D277" s="10" t="s">
        <v>19</v>
      </c>
      <c r="E277" s="10" t="s">
        <v>660</v>
      </c>
      <c r="F277" s="13" t="s">
        <v>32</v>
      </c>
      <c r="G277" s="10" t="s">
        <v>8</v>
      </c>
      <c r="H277" s="10" t="s">
        <v>90</v>
      </c>
      <c r="I277" s="10" t="s">
        <v>78</v>
      </c>
      <c r="J277" s="14" t="s">
        <v>79</v>
      </c>
      <c r="K277" s="15" t="s">
        <v>86</v>
      </c>
      <c r="L277" s="14" t="s">
        <v>87</v>
      </c>
      <c r="M277" s="72" t="s">
        <v>124</v>
      </c>
      <c r="N277" s="70">
        <v>0</v>
      </c>
      <c r="O277" s="70">
        <v>0</v>
      </c>
      <c r="P277" s="70">
        <v>0</v>
      </c>
      <c r="Q277" s="70">
        <v>0</v>
      </c>
      <c r="R277" s="70">
        <v>0</v>
      </c>
      <c r="S277" s="70">
        <v>0</v>
      </c>
      <c r="T277" s="70">
        <v>1</v>
      </c>
      <c r="U277" s="70">
        <v>0</v>
      </c>
      <c r="V277" s="70">
        <v>0</v>
      </c>
      <c r="W277" s="71" t="s">
        <v>83</v>
      </c>
      <c r="X277" s="73" t="s">
        <v>209</v>
      </c>
    </row>
    <row r="278" spans="1:24">
      <c r="A278" s="10" t="s">
        <v>681</v>
      </c>
      <c r="B278" s="10" t="s">
        <v>236</v>
      </c>
      <c r="C278" s="13" t="s">
        <v>682</v>
      </c>
      <c r="D278" s="10" t="s">
        <v>19</v>
      </c>
      <c r="E278" s="10" t="s">
        <v>660</v>
      </c>
      <c r="F278" s="13" t="s">
        <v>42</v>
      </c>
      <c r="G278" s="10" t="s">
        <v>8</v>
      </c>
      <c r="H278" s="10" t="s">
        <v>77</v>
      </c>
      <c r="I278" s="10" t="s">
        <v>78</v>
      </c>
      <c r="J278" s="14" t="s">
        <v>79</v>
      </c>
      <c r="K278" s="15" t="s">
        <v>86</v>
      </c>
      <c r="L278" s="14" t="s">
        <v>87</v>
      </c>
      <c r="M278" s="72" t="s">
        <v>124</v>
      </c>
      <c r="N278" s="70">
        <v>0</v>
      </c>
      <c r="O278" s="70">
        <v>0</v>
      </c>
      <c r="P278" s="70">
        <v>0</v>
      </c>
      <c r="Q278" s="70">
        <v>0</v>
      </c>
      <c r="R278" s="70">
        <v>0</v>
      </c>
      <c r="S278" s="70">
        <v>0</v>
      </c>
      <c r="T278" s="70">
        <v>1</v>
      </c>
      <c r="U278" s="70">
        <v>1</v>
      </c>
      <c r="V278" s="70">
        <v>0</v>
      </c>
      <c r="W278" s="71" t="s">
        <v>83</v>
      </c>
      <c r="X278" s="73" t="s">
        <v>125</v>
      </c>
    </row>
    <row r="279" spans="1:24">
      <c r="A279" s="10" t="s">
        <v>683</v>
      </c>
      <c r="B279" s="10" t="s">
        <v>213</v>
      </c>
      <c r="C279" s="13" t="s">
        <v>684</v>
      </c>
      <c r="D279" s="10" t="s">
        <v>23</v>
      </c>
      <c r="E279" s="10" t="s">
        <v>660</v>
      </c>
      <c r="F279" s="13" t="s">
        <v>33</v>
      </c>
      <c r="G279" s="10" t="s">
        <v>8</v>
      </c>
      <c r="H279" s="10" t="s">
        <v>90</v>
      </c>
      <c r="I279" s="10" t="s">
        <v>78</v>
      </c>
      <c r="J279" s="14" t="s">
        <v>79</v>
      </c>
      <c r="K279" s="15" t="s">
        <v>80</v>
      </c>
      <c r="L279" s="14" t="s">
        <v>81</v>
      </c>
      <c r="M279" s="72" t="s">
        <v>82</v>
      </c>
      <c r="N279" s="70">
        <v>1</v>
      </c>
      <c r="O279" s="70">
        <v>0</v>
      </c>
      <c r="P279" s="70">
        <v>0</v>
      </c>
      <c r="Q279" s="70">
        <v>0</v>
      </c>
      <c r="R279" s="70">
        <v>0</v>
      </c>
      <c r="S279" s="70">
        <v>1</v>
      </c>
      <c r="T279" s="70">
        <v>1</v>
      </c>
      <c r="U279" s="70">
        <v>0</v>
      </c>
      <c r="V279" s="70">
        <v>0</v>
      </c>
      <c r="W279" s="71" t="s">
        <v>83</v>
      </c>
      <c r="X279" s="72">
        <v>0</v>
      </c>
    </row>
    <row r="280" spans="1:24">
      <c r="A280" s="10" t="s">
        <v>685</v>
      </c>
      <c r="B280" s="10" t="s">
        <v>240</v>
      </c>
      <c r="C280" s="13" t="s">
        <v>686</v>
      </c>
      <c r="D280" s="10" t="s">
        <v>23</v>
      </c>
      <c r="E280" s="10" t="s">
        <v>660</v>
      </c>
      <c r="F280" s="13" t="s">
        <v>33</v>
      </c>
      <c r="G280" s="10" t="s">
        <v>8</v>
      </c>
      <c r="H280" s="10" t="s">
        <v>77</v>
      </c>
      <c r="I280" s="10" t="s">
        <v>78</v>
      </c>
      <c r="J280" s="14" t="s">
        <v>79</v>
      </c>
      <c r="K280" s="15" t="s">
        <v>86</v>
      </c>
      <c r="L280" s="14" t="s">
        <v>87</v>
      </c>
      <c r="M280" s="72" t="s">
        <v>124</v>
      </c>
      <c r="N280" s="70">
        <v>0</v>
      </c>
      <c r="O280" s="70">
        <v>0</v>
      </c>
      <c r="P280" s="70">
        <v>0</v>
      </c>
      <c r="Q280" s="70">
        <v>0</v>
      </c>
      <c r="R280" s="70">
        <v>0</v>
      </c>
      <c r="S280" s="70">
        <v>0</v>
      </c>
      <c r="T280" s="70">
        <v>1</v>
      </c>
      <c r="U280" s="70">
        <v>1</v>
      </c>
      <c r="V280" s="70">
        <v>0</v>
      </c>
      <c r="W280" s="71" t="s">
        <v>83</v>
      </c>
      <c r="X280" s="73" t="s">
        <v>125</v>
      </c>
    </row>
    <row r="281" spans="1:24" ht="16.25" customHeight="1">
      <c r="A281" s="10" t="s">
        <v>687</v>
      </c>
      <c r="B281" s="10" t="s">
        <v>240</v>
      </c>
      <c r="C281" s="13" t="s">
        <v>688</v>
      </c>
      <c r="D281" s="10" t="s">
        <v>23</v>
      </c>
      <c r="E281" s="10" t="s">
        <v>660</v>
      </c>
      <c r="F281" s="13" t="s">
        <v>32</v>
      </c>
      <c r="G281" s="10" t="s">
        <v>8</v>
      </c>
      <c r="H281" s="10" t="s">
        <v>77</v>
      </c>
      <c r="I281" s="10" t="s">
        <v>78</v>
      </c>
      <c r="J281" s="14" t="s">
        <v>79</v>
      </c>
      <c r="K281" s="15" t="s">
        <v>86</v>
      </c>
      <c r="L281" s="14" t="s">
        <v>87</v>
      </c>
      <c r="M281" s="72" t="s">
        <v>124</v>
      </c>
      <c r="N281" s="70">
        <v>0</v>
      </c>
      <c r="O281" s="70">
        <v>0</v>
      </c>
      <c r="P281" s="70">
        <v>0</v>
      </c>
      <c r="Q281" s="70">
        <v>0</v>
      </c>
      <c r="R281" s="70">
        <v>0</v>
      </c>
      <c r="S281" s="70">
        <v>0</v>
      </c>
      <c r="T281" s="70">
        <v>1</v>
      </c>
      <c r="U281" s="70">
        <v>1</v>
      </c>
      <c r="V281" s="70">
        <v>0</v>
      </c>
      <c r="W281" s="71" t="s">
        <v>83</v>
      </c>
      <c r="X281" s="73" t="s">
        <v>125</v>
      </c>
    </row>
    <row r="282" spans="1:24">
      <c r="A282" s="28" t="s">
        <v>689</v>
      </c>
      <c r="B282" s="29" t="s">
        <v>689</v>
      </c>
      <c r="C282" s="2" t="s">
        <v>690</v>
      </c>
      <c r="D282" s="2" t="s">
        <v>23</v>
      </c>
      <c r="E282" s="28" t="s">
        <v>660</v>
      </c>
      <c r="F282" s="13" t="s">
        <v>660</v>
      </c>
      <c r="G282" s="2" t="s">
        <v>8</v>
      </c>
      <c r="H282" s="2" t="s">
        <v>691</v>
      </c>
      <c r="I282" s="10" t="s">
        <v>78</v>
      </c>
      <c r="J282" s="14" t="s">
        <v>692</v>
      </c>
      <c r="K282" s="15" t="s">
        <v>80</v>
      </c>
      <c r="L282" s="14" t="s">
        <v>693</v>
      </c>
      <c r="M282" s="79" t="s">
        <v>660</v>
      </c>
      <c r="N282" s="75" t="s">
        <v>660</v>
      </c>
      <c r="O282" s="75" t="s">
        <v>660</v>
      </c>
      <c r="P282" s="75" t="s">
        <v>660</v>
      </c>
      <c r="Q282" s="75" t="s">
        <v>660</v>
      </c>
      <c r="R282" s="75" t="s">
        <v>660</v>
      </c>
      <c r="S282" s="75" t="s">
        <v>660</v>
      </c>
      <c r="T282" s="75" t="s">
        <v>660</v>
      </c>
      <c r="U282" s="75" t="s">
        <v>660</v>
      </c>
      <c r="V282" s="75" t="s">
        <v>660</v>
      </c>
      <c r="W282" s="75" t="s">
        <v>660</v>
      </c>
      <c r="X282" s="76" t="s">
        <v>660</v>
      </c>
    </row>
    <row r="283" spans="1:24">
      <c r="A283" s="28" t="s">
        <v>689</v>
      </c>
      <c r="B283" s="29" t="s">
        <v>689</v>
      </c>
      <c r="C283" s="2" t="s">
        <v>694</v>
      </c>
      <c r="D283" s="2" t="s">
        <v>15</v>
      </c>
      <c r="E283" s="27" t="s">
        <v>660</v>
      </c>
      <c r="F283" s="13" t="s">
        <v>660</v>
      </c>
      <c r="G283" s="2" t="s">
        <v>7</v>
      </c>
      <c r="H283" s="2" t="s">
        <v>695</v>
      </c>
      <c r="I283" s="10" t="s">
        <v>78</v>
      </c>
      <c r="J283" s="14" t="s">
        <v>692</v>
      </c>
      <c r="K283" s="15" t="s">
        <v>80</v>
      </c>
      <c r="L283" s="14" t="s">
        <v>693</v>
      </c>
      <c r="M283" s="80" t="s">
        <v>660</v>
      </c>
      <c r="N283" s="77" t="s">
        <v>660</v>
      </c>
      <c r="O283" s="77" t="s">
        <v>660</v>
      </c>
      <c r="P283" s="77" t="s">
        <v>660</v>
      </c>
      <c r="Q283" s="77" t="s">
        <v>660</v>
      </c>
      <c r="R283" s="77" t="s">
        <v>660</v>
      </c>
      <c r="S283" s="77" t="s">
        <v>660</v>
      </c>
      <c r="T283" s="77" t="s">
        <v>660</v>
      </c>
      <c r="U283" s="77" t="s">
        <v>660</v>
      </c>
      <c r="V283" s="77" t="s">
        <v>660</v>
      </c>
      <c r="W283" s="77" t="s">
        <v>660</v>
      </c>
      <c r="X283" s="78" t="s">
        <v>660</v>
      </c>
    </row>
    <row r="284" spans="1:24">
      <c r="A284" s="28" t="s">
        <v>689</v>
      </c>
      <c r="B284" s="29" t="s">
        <v>689</v>
      </c>
      <c r="C284" s="2" t="s">
        <v>696</v>
      </c>
      <c r="D284" s="2" t="s">
        <v>18</v>
      </c>
      <c r="E284" s="27" t="s">
        <v>660</v>
      </c>
      <c r="F284" s="13" t="s">
        <v>660</v>
      </c>
      <c r="G284" s="2" t="s">
        <v>8</v>
      </c>
      <c r="H284" s="2" t="s">
        <v>691</v>
      </c>
      <c r="I284" s="10" t="s">
        <v>78</v>
      </c>
      <c r="J284" s="14" t="s">
        <v>692</v>
      </c>
      <c r="K284" s="15" t="s">
        <v>80</v>
      </c>
      <c r="L284" s="14" t="s">
        <v>693</v>
      </c>
      <c r="M284" s="80" t="s">
        <v>660</v>
      </c>
      <c r="N284" s="77" t="s">
        <v>660</v>
      </c>
      <c r="O284" s="77" t="s">
        <v>660</v>
      </c>
      <c r="P284" s="77" t="s">
        <v>660</v>
      </c>
      <c r="Q284" s="77" t="s">
        <v>660</v>
      </c>
      <c r="R284" s="77" t="s">
        <v>660</v>
      </c>
      <c r="S284" s="77" t="s">
        <v>660</v>
      </c>
      <c r="T284" s="77" t="s">
        <v>660</v>
      </c>
      <c r="U284" s="77" t="s">
        <v>660</v>
      </c>
      <c r="V284" s="77" t="s">
        <v>660</v>
      </c>
      <c r="W284" s="77" t="s">
        <v>660</v>
      </c>
      <c r="X284" s="78" t="s">
        <v>660</v>
      </c>
    </row>
    <row r="285" spans="1:24">
      <c r="A285" s="28" t="s">
        <v>689</v>
      </c>
      <c r="B285" s="29" t="s">
        <v>689</v>
      </c>
      <c r="C285" s="2" t="s">
        <v>697</v>
      </c>
      <c r="D285" s="2" t="s">
        <v>18</v>
      </c>
      <c r="E285" s="27" t="s">
        <v>660</v>
      </c>
      <c r="F285" s="13" t="s">
        <v>660</v>
      </c>
      <c r="G285" s="2" t="s">
        <v>7</v>
      </c>
      <c r="H285" s="2" t="s">
        <v>698</v>
      </c>
      <c r="I285" s="10" t="s">
        <v>78</v>
      </c>
      <c r="J285" s="14" t="s">
        <v>692</v>
      </c>
      <c r="K285" s="15" t="s">
        <v>80</v>
      </c>
      <c r="L285" s="14" t="s">
        <v>693</v>
      </c>
      <c r="M285" s="80" t="s">
        <v>660</v>
      </c>
      <c r="N285" s="77" t="s">
        <v>660</v>
      </c>
      <c r="O285" s="77" t="s">
        <v>660</v>
      </c>
      <c r="P285" s="77" t="s">
        <v>660</v>
      </c>
      <c r="Q285" s="77" t="s">
        <v>660</v>
      </c>
      <c r="R285" s="77" t="s">
        <v>660</v>
      </c>
      <c r="S285" s="77" t="s">
        <v>660</v>
      </c>
      <c r="T285" s="77" t="s">
        <v>660</v>
      </c>
      <c r="U285" s="77" t="s">
        <v>660</v>
      </c>
      <c r="V285" s="77" t="s">
        <v>660</v>
      </c>
      <c r="W285" s="77" t="s">
        <v>660</v>
      </c>
      <c r="X285" s="78" t="s">
        <v>660</v>
      </c>
    </row>
    <row r="286" spans="1:24">
      <c r="A286" s="28" t="s">
        <v>689</v>
      </c>
      <c r="B286" s="29" t="s">
        <v>689</v>
      </c>
      <c r="C286" s="2" t="s">
        <v>699</v>
      </c>
      <c r="D286" s="2" t="s">
        <v>700</v>
      </c>
      <c r="E286" s="27" t="s">
        <v>660</v>
      </c>
      <c r="F286" s="13" t="s">
        <v>660</v>
      </c>
      <c r="G286" s="2" t="s">
        <v>8</v>
      </c>
      <c r="H286" s="2">
        <v>46</v>
      </c>
      <c r="I286" s="10" t="s">
        <v>78</v>
      </c>
      <c r="J286" s="14" t="s">
        <v>692</v>
      </c>
      <c r="K286" s="15" t="s">
        <v>80</v>
      </c>
      <c r="L286" s="14" t="s">
        <v>693</v>
      </c>
      <c r="M286" s="80" t="s">
        <v>660</v>
      </c>
      <c r="N286" s="77" t="s">
        <v>660</v>
      </c>
      <c r="O286" s="77" t="s">
        <v>660</v>
      </c>
      <c r="P286" s="77" t="s">
        <v>660</v>
      </c>
      <c r="Q286" s="77" t="s">
        <v>660</v>
      </c>
      <c r="R286" s="77" t="s">
        <v>660</v>
      </c>
      <c r="S286" s="77" t="s">
        <v>660</v>
      </c>
      <c r="T286" s="77" t="s">
        <v>660</v>
      </c>
      <c r="U286" s="77" t="s">
        <v>660</v>
      </c>
      <c r="V286" s="77" t="s">
        <v>660</v>
      </c>
      <c r="W286" s="77" t="s">
        <v>660</v>
      </c>
      <c r="X286" s="78" t="s">
        <v>660</v>
      </c>
    </row>
    <row r="287" spans="1:24">
      <c r="A287" s="28" t="s">
        <v>689</v>
      </c>
      <c r="B287" s="29" t="s">
        <v>689</v>
      </c>
      <c r="C287" s="2" t="s">
        <v>701</v>
      </c>
      <c r="D287" s="2" t="s">
        <v>15</v>
      </c>
      <c r="E287" s="27" t="s">
        <v>660</v>
      </c>
      <c r="F287" s="13" t="s">
        <v>660</v>
      </c>
      <c r="G287" s="2" t="s">
        <v>7</v>
      </c>
      <c r="H287" s="2" t="s">
        <v>691</v>
      </c>
      <c r="I287" s="10" t="s">
        <v>78</v>
      </c>
      <c r="J287" s="14" t="s">
        <v>692</v>
      </c>
      <c r="K287" s="15" t="s">
        <v>80</v>
      </c>
      <c r="L287" s="14" t="s">
        <v>693</v>
      </c>
      <c r="M287" s="80" t="s">
        <v>660</v>
      </c>
      <c r="N287" s="77" t="s">
        <v>660</v>
      </c>
      <c r="O287" s="77" t="s">
        <v>660</v>
      </c>
      <c r="P287" s="77" t="s">
        <v>660</v>
      </c>
      <c r="Q287" s="77" t="s">
        <v>660</v>
      </c>
      <c r="R287" s="77" t="s">
        <v>660</v>
      </c>
      <c r="S287" s="77" t="s">
        <v>660</v>
      </c>
      <c r="T287" s="77" t="s">
        <v>660</v>
      </c>
      <c r="U287" s="77" t="s">
        <v>660</v>
      </c>
      <c r="V287" s="77" t="s">
        <v>660</v>
      </c>
      <c r="W287" s="77" t="s">
        <v>660</v>
      </c>
      <c r="X287" s="78" t="s">
        <v>660</v>
      </c>
    </row>
    <row r="288" spans="1:24">
      <c r="A288" s="28" t="s">
        <v>689</v>
      </c>
      <c r="B288" s="29" t="s">
        <v>689</v>
      </c>
      <c r="C288" s="2" t="s">
        <v>702</v>
      </c>
      <c r="D288" s="2" t="s">
        <v>15</v>
      </c>
      <c r="E288" s="27" t="s">
        <v>660</v>
      </c>
      <c r="F288" s="13" t="s">
        <v>660</v>
      </c>
      <c r="G288" s="2" t="s">
        <v>7</v>
      </c>
      <c r="H288" s="2" t="s">
        <v>691</v>
      </c>
      <c r="I288" s="10" t="s">
        <v>78</v>
      </c>
      <c r="J288" s="14" t="s">
        <v>692</v>
      </c>
      <c r="K288" s="15" t="s">
        <v>80</v>
      </c>
      <c r="L288" s="14" t="s">
        <v>693</v>
      </c>
      <c r="M288" s="80" t="s">
        <v>660</v>
      </c>
      <c r="N288" s="77" t="s">
        <v>660</v>
      </c>
      <c r="O288" s="77" t="s">
        <v>660</v>
      </c>
      <c r="P288" s="77" t="s">
        <v>660</v>
      </c>
      <c r="Q288" s="77" t="s">
        <v>660</v>
      </c>
      <c r="R288" s="77" t="s">
        <v>660</v>
      </c>
      <c r="S288" s="77" t="s">
        <v>660</v>
      </c>
      <c r="T288" s="77" t="s">
        <v>660</v>
      </c>
      <c r="U288" s="77" t="s">
        <v>660</v>
      </c>
      <c r="V288" s="77" t="s">
        <v>660</v>
      </c>
      <c r="W288" s="77" t="s">
        <v>660</v>
      </c>
      <c r="X288" s="78" t="s">
        <v>660</v>
      </c>
    </row>
    <row r="289" spans="1:24">
      <c r="A289" s="28" t="s">
        <v>689</v>
      </c>
      <c r="B289" s="29" t="s">
        <v>689</v>
      </c>
      <c r="C289" s="2" t="s">
        <v>703</v>
      </c>
      <c r="D289" s="2" t="s">
        <v>15</v>
      </c>
      <c r="E289" s="27" t="s">
        <v>660</v>
      </c>
      <c r="F289" s="13" t="s">
        <v>660</v>
      </c>
      <c r="G289" s="2" t="s">
        <v>7</v>
      </c>
      <c r="H289" s="2" t="s">
        <v>691</v>
      </c>
      <c r="I289" s="10" t="s">
        <v>78</v>
      </c>
      <c r="J289" s="14" t="s">
        <v>692</v>
      </c>
      <c r="K289" s="15" t="s">
        <v>80</v>
      </c>
      <c r="L289" s="14" t="s">
        <v>693</v>
      </c>
      <c r="M289" s="80" t="s">
        <v>660</v>
      </c>
      <c r="N289" s="77" t="s">
        <v>660</v>
      </c>
      <c r="O289" s="77" t="s">
        <v>660</v>
      </c>
      <c r="P289" s="77" t="s">
        <v>660</v>
      </c>
      <c r="Q289" s="77" t="s">
        <v>660</v>
      </c>
      <c r="R289" s="77" t="s">
        <v>660</v>
      </c>
      <c r="S289" s="77" t="s">
        <v>660</v>
      </c>
      <c r="T289" s="77" t="s">
        <v>660</v>
      </c>
      <c r="U289" s="77" t="s">
        <v>660</v>
      </c>
      <c r="V289" s="77" t="s">
        <v>660</v>
      </c>
      <c r="W289" s="77" t="s">
        <v>660</v>
      </c>
      <c r="X289" s="78" t="s">
        <v>660</v>
      </c>
    </row>
    <row r="290" spans="1:24">
      <c r="A290" s="28" t="s">
        <v>689</v>
      </c>
      <c r="B290" s="29" t="s">
        <v>689</v>
      </c>
      <c r="C290" s="2" t="s">
        <v>704</v>
      </c>
      <c r="D290" s="2" t="s">
        <v>16</v>
      </c>
      <c r="E290" s="27" t="s">
        <v>660</v>
      </c>
      <c r="F290" s="13" t="s">
        <v>660</v>
      </c>
      <c r="G290" s="2" t="s">
        <v>7</v>
      </c>
      <c r="H290" s="2">
        <v>46</v>
      </c>
      <c r="I290" s="10" t="s">
        <v>78</v>
      </c>
      <c r="J290" s="14" t="s">
        <v>692</v>
      </c>
      <c r="K290" s="15" t="s">
        <v>80</v>
      </c>
      <c r="L290" s="14" t="s">
        <v>693</v>
      </c>
      <c r="M290" s="80" t="s">
        <v>660</v>
      </c>
      <c r="N290" s="77" t="s">
        <v>660</v>
      </c>
      <c r="O290" s="77" t="s">
        <v>660</v>
      </c>
      <c r="P290" s="77" t="s">
        <v>660</v>
      </c>
      <c r="Q290" s="77" t="s">
        <v>660</v>
      </c>
      <c r="R290" s="77" t="s">
        <v>660</v>
      </c>
      <c r="S290" s="77" t="s">
        <v>660</v>
      </c>
      <c r="T290" s="77" t="s">
        <v>660</v>
      </c>
      <c r="U290" s="77" t="s">
        <v>660</v>
      </c>
      <c r="V290" s="77" t="s">
        <v>660</v>
      </c>
      <c r="W290" s="77" t="s">
        <v>660</v>
      </c>
      <c r="X290" s="78" t="s">
        <v>660</v>
      </c>
    </row>
    <row r="291" spans="1:24">
      <c r="A291" s="28" t="s">
        <v>689</v>
      </c>
      <c r="B291" s="29" t="s">
        <v>689</v>
      </c>
      <c r="C291" s="2" t="s">
        <v>705</v>
      </c>
      <c r="D291" s="2" t="s">
        <v>15</v>
      </c>
      <c r="E291" s="27" t="s">
        <v>660</v>
      </c>
      <c r="F291" s="13" t="s">
        <v>660</v>
      </c>
      <c r="G291" s="2" t="s">
        <v>8</v>
      </c>
      <c r="H291" s="2" t="s">
        <v>691</v>
      </c>
      <c r="I291" s="10" t="s">
        <v>78</v>
      </c>
      <c r="J291" s="14" t="s">
        <v>692</v>
      </c>
      <c r="K291" s="15" t="s">
        <v>80</v>
      </c>
      <c r="L291" s="14" t="s">
        <v>693</v>
      </c>
      <c r="M291" s="80" t="s">
        <v>660</v>
      </c>
      <c r="N291" s="77" t="s">
        <v>660</v>
      </c>
      <c r="O291" s="77" t="s">
        <v>660</v>
      </c>
      <c r="P291" s="77" t="s">
        <v>660</v>
      </c>
      <c r="Q291" s="77" t="s">
        <v>660</v>
      </c>
      <c r="R291" s="77" t="s">
        <v>660</v>
      </c>
      <c r="S291" s="77" t="s">
        <v>660</v>
      </c>
      <c r="T291" s="77" t="s">
        <v>660</v>
      </c>
      <c r="U291" s="77" t="s">
        <v>660</v>
      </c>
      <c r="V291" s="77" t="s">
        <v>660</v>
      </c>
      <c r="W291" s="77" t="s">
        <v>660</v>
      </c>
      <c r="X291" s="78" t="s">
        <v>660</v>
      </c>
    </row>
    <row r="292" spans="1:24">
      <c r="A292" s="28" t="s">
        <v>689</v>
      </c>
      <c r="B292" s="29" t="s">
        <v>689</v>
      </c>
      <c r="C292" s="2" t="s">
        <v>706</v>
      </c>
      <c r="D292" s="2" t="s">
        <v>15</v>
      </c>
      <c r="E292" s="27" t="s">
        <v>660</v>
      </c>
      <c r="F292" s="13" t="s">
        <v>660</v>
      </c>
      <c r="G292" s="2" t="s">
        <v>8</v>
      </c>
      <c r="H292" s="2" t="s">
        <v>691</v>
      </c>
      <c r="I292" s="10" t="s">
        <v>78</v>
      </c>
      <c r="J292" s="14" t="s">
        <v>692</v>
      </c>
      <c r="K292" s="15" t="s">
        <v>80</v>
      </c>
      <c r="L292" s="14" t="s">
        <v>693</v>
      </c>
      <c r="M292" s="80" t="s">
        <v>660</v>
      </c>
      <c r="N292" s="77" t="s">
        <v>660</v>
      </c>
      <c r="O292" s="77" t="s">
        <v>660</v>
      </c>
      <c r="P292" s="77" t="s">
        <v>660</v>
      </c>
      <c r="Q292" s="77" t="s">
        <v>660</v>
      </c>
      <c r="R292" s="77" t="s">
        <v>660</v>
      </c>
      <c r="S292" s="77" t="s">
        <v>660</v>
      </c>
      <c r="T292" s="77" t="s">
        <v>660</v>
      </c>
      <c r="U292" s="77" t="s">
        <v>660</v>
      </c>
      <c r="V292" s="77" t="s">
        <v>660</v>
      </c>
      <c r="W292" s="77" t="s">
        <v>660</v>
      </c>
      <c r="X292" s="78" t="s">
        <v>660</v>
      </c>
    </row>
    <row r="293" spans="1:24">
      <c r="A293" s="28" t="s">
        <v>689</v>
      </c>
      <c r="B293" s="29" t="s">
        <v>689</v>
      </c>
      <c r="C293" s="2" t="s">
        <v>707</v>
      </c>
      <c r="D293" s="2" t="s">
        <v>15</v>
      </c>
      <c r="E293" s="27" t="s">
        <v>660</v>
      </c>
      <c r="F293" s="13" t="s">
        <v>660</v>
      </c>
      <c r="G293" s="2" t="s">
        <v>7</v>
      </c>
      <c r="H293" s="2" t="s">
        <v>698</v>
      </c>
      <c r="I293" s="10" t="s">
        <v>78</v>
      </c>
      <c r="J293" s="14" t="s">
        <v>692</v>
      </c>
      <c r="K293" s="15" t="s">
        <v>80</v>
      </c>
      <c r="L293" s="14" t="s">
        <v>693</v>
      </c>
      <c r="M293" s="80" t="s">
        <v>660</v>
      </c>
      <c r="N293" s="77" t="s">
        <v>660</v>
      </c>
      <c r="O293" s="77" t="s">
        <v>660</v>
      </c>
      <c r="P293" s="77" t="s">
        <v>660</v>
      </c>
      <c r="Q293" s="77" t="s">
        <v>660</v>
      </c>
      <c r="R293" s="77" t="s">
        <v>660</v>
      </c>
      <c r="S293" s="77" t="s">
        <v>660</v>
      </c>
      <c r="T293" s="77" t="s">
        <v>660</v>
      </c>
      <c r="U293" s="77" t="s">
        <v>660</v>
      </c>
      <c r="V293" s="77" t="s">
        <v>660</v>
      </c>
      <c r="W293" s="77" t="s">
        <v>660</v>
      </c>
      <c r="X293" s="78" t="s">
        <v>660</v>
      </c>
    </row>
    <row r="294" spans="1:24">
      <c r="A294" s="28" t="s">
        <v>689</v>
      </c>
      <c r="B294" s="29" t="s">
        <v>689</v>
      </c>
      <c r="C294" s="2" t="s">
        <v>708</v>
      </c>
      <c r="D294" s="2" t="s">
        <v>700</v>
      </c>
      <c r="E294" s="27" t="s">
        <v>660</v>
      </c>
      <c r="F294" s="13" t="s">
        <v>660</v>
      </c>
      <c r="G294" s="2" t="s">
        <v>7</v>
      </c>
      <c r="H294" s="2" t="s">
        <v>695</v>
      </c>
      <c r="I294" s="10" t="s">
        <v>78</v>
      </c>
      <c r="J294" s="14" t="s">
        <v>692</v>
      </c>
      <c r="K294" s="15" t="s">
        <v>80</v>
      </c>
      <c r="L294" s="14" t="s">
        <v>693</v>
      </c>
      <c r="M294" s="80" t="s">
        <v>660</v>
      </c>
      <c r="N294" s="77" t="s">
        <v>660</v>
      </c>
      <c r="O294" s="77" t="s">
        <v>660</v>
      </c>
      <c r="P294" s="77" t="s">
        <v>660</v>
      </c>
      <c r="Q294" s="77" t="s">
        <v>660</v>
      </c>
      <c r="R294" s="77" t="s">
        <v>660</v>
      </c>
      <c r="S294" s="77" t="s">
        <v>660</v>
      </c>
      <c r="T294" s="77" t="s">
        <v>660</v>
      </c>
      <c r="U294" s="77" t="s">
        <v>660</v>
      </c>
      <c r="V294" s="77" t="s">
        <v>660</v>
      </c>
      <c r="W294" s="77" t="s">
        <v>660</v>
      </c>
      <c r="X294" s="78" t="s">
        <v>660</v>
      </c>
    </row>
    <row r="295" spans="1:24">
      <c r="A295" s="28" t="s">
        <v>689</v>
      </c>
      <c r="B295" s="29" t="s">
        <v>689</v>
      </c>
      <c r="C295" s="2" t="s">
        <v>709</v>
      </c>
      <c r="D295" s="2" t="s">
        <v>710</v>
      </c>
      <c r="E295" s="27" t="s">
        <v>660</v>
      </c>
      <c r="F295" s="13" t="s">
        <v>660</v>
      </c>
      <c r="G295" s="2" t="s">
        <v>7</v>
      </c>
      <c r="H295" s="2" t="s">
        <v>179</v>
      </c>
      <c r="I295" s="10" t="s">
        <v>78</v>
      </c>
      <c r="J295" s="14" t="s">
        <v>692</v>
      </c>
      <c r="K295" s="15" t="s">
        <v>80</v>
      </c>
      <c r="L295" s="14" t="s">
        <v>693</v>
      </c>
      <c r="M295" s="80" t="s">
        <v>660</v>
      </c>
      <c r="N295" s="77" t="s">
        <v>660</v>
      </c>
      <c r="O295" s="77" t="s">
        <v>660</v>
      </c>
      <c r="P295" s="77" t="s">
        <v>660</v>
      </c>
      <c r="Q295" s="77" t="s">
        <v>660</v>
      </c>
      <c r="R295" s="77" t="s">
        <v>660</v>
      </c>
      <c r="S295" s="77" t="s">
        <v>660</v>
      </c>
      <c r="T295" s="77" t="s">
        <v>660</v>
      </c>
      <c r="U295" s="77" t="s">
        <v>660</v>
      </c>
      <c r="V295" s="77" t="s">
        <v>660</v>
      </c>
      <c r="W295" s="77" t="s">
        <v>660</v>
      </c>
      <c r="X295" s="78" t="s">
        <v>660</v>
      </c>
    </row>
    <row r="296" spans="1:24">
      <c r="A296" s="28" t="s">
        <v>689</v>
      </c>
      <c r="B296" s="29" t="s">
        <v>689</v>
      </c>
      <c r="C296" s="2" t="s">
        <v>711</v>
      </c>
      <c r="D296" s="2" t="s">
        <v>712</v>
      </c>
      <c r="E296" s="27" t="s">
        <v>660</v>
      </c>
      <c r="F296" s="13" t="s">
        <v>660</v>
      </c>
      <c r="G296" s="2" t="s">
        <v>7</v>
      </c>
      <c r="H296" s="2" t="s">
        <v>695</v>
      </c>
      <c r="I296" s="10" t="s">
        <v>78</v>
      </c>
      <c r="J296" s="14" t="s">
        <v>692</v>
      </c>
      <c r="K296" s="15" t="s">
        <v>80</v>
      </c>
      <c r="L296" s="14" t="s">
        <v>693</v>
      </c>
      <c r="M296" s="80" t="s">
        <v>660</v>
      </c>
      <c r="N296" s="77" t="s">
        <v>660</v>
      </c>
      <c r="O296" s="77" t="s">
        <v>660</v>
      </c>
      <c r="P296" s="77" t="s">
        <v>660</v>
      </c>
      <c r="Q296" s="77" t="s">
        <v>660</v>
      </c>
      <c r="R296" s="77" t="s">
        <v>660</v>
      </c>
      <c r="S296" s="77" t="s">
        <v>660</v>
      </c>
      <c r="T296" s="77" t="s">
        <v>660</v>
      </c>
      <c r="U296" s="77" t="s">
        <v>660</v>
      </c>
      <c r="V296" s="77" t="s">
        <v>660</v>
      </c>
      <c r="W296" s="77" t="s">
        <v>660</v>
      </c>
      <c r="X296" s="78" t="s">
        <v>660</v>
      </c>
    </row>
    <row r="297" spans="1:24">
      <c r="A297" s="28" t="s">
        <v>689</v>
      </c>
      <c r="B297" s="29" t="s">
        <v>689</v>
      </c>
      <c r="C297" s="2" t="s">
        <v>713</v>
      </c>
      <c r="D297" s="2" t="s">
        <v>15</v>
      </c>
      <c r="E297" s="27" t="s">
        <v>660</v>
      </c>
      <c r="F297" s="13" t="s">
        <v>660</v>
      </c>
      <c r="G297" s="2" t="s">
        <v>7</v>
      </c>
      <c r="H297" s="2" t="s">
        <v>179</v>
      </c>
      <c r="I297" s="10" t="s">
        <v>78</v>
      </c>
      <c r="J297" s="14" t="s">
        <v>692</v>
      </c>
      <c r="K297" s="15" t="s">
        <v>80</v>
      </c>
      <c r="L297" s="14" t="s">
        <v>693</v>
      </c>
      <c r="M297" s="80" t="s">
        <v>660</v>
      </c>
      <c r="N297" s="77" t="s">
        <v>660</v>
      </c>
      <c r="O297" s="77" t="s">
        <v>660</v>
      </c>
      <c r="P297" s="77" t="s">
        <v>660</v>
      </c>
      <c r="Q297" s="77" t="s">
        <v>660</v>
      </c>
      <c r="R297" s="77" t="s">
        <v>660</v>
      </c>
      <c r="S297" s="77" t="s">
        <v>660</v>
      </c>
      <c r="T297" s="77" t="s">
        <v>660</v>
      </c>
      <c r="U297" s="77" t="s">
        <v>660</v>
      </c>
      <c r="V297" s="77" t="s">
        <v>660</v>
      </c>
      <c r="W297" s="77" t="s">
        <v>660</v>
      </c>
      <c r="X297" s="78" t="s">
        <v>660</v>
      </c>
    </row>
    <row r="298" spans="1:24">
      <c r="A298" s="28" t="s">
        <v>689</v>
      </c>
      <c r="B298" s="29" t="s">
        <v>689</v>
      </c>
      <c r="C298" s="2" t="s">
        <v>714</v>
      </c>
      <c r="D298" s="2" t="s">
        <v>15</v>
      </c>
      <c r="E298" s="27" t="s">
        <v>660</v>
      </c>
      <c r="F298" s="13" t="s">
        <v>660</v>
      </c>
      <c r="G298" s="2" t="s">
        <v>8</v>
      </c>
      <c r="H298" s="2" t="s">
        <v>691</v>
      </c>
      <c r="I298" s="10" t="s">
        <v>78</v>
      </c>
      <c r="J298" s="14" t="s">
        <v>692</v>
      </c>
      <c r="K298" s="15" t="s">
        <v>80</v>
      </c>
      <c r="L298" s="14" t="s">
        <v>693</v>
      </c>
      <c r="M298" s="80" t="s">
        <v>660</v>
      </c>
      <c r="N298" s="77" t="s">
        <v>660</v>
      </c>
      <c r="O298" s="77" t="s">
        <v>660</v>
      </c>
      <c r="P298" s="77" t="s">
        <v>660</v>
      </c>
      <c r="Q298" s="77" t="s">
        <v>660</v>
      </c>
      <c r="R298" s="77" t="s">
        <v>660</v>
      </c>
      <c r="S298" s="77" t="s">
        <v>660</v>
      </c>
      <c r="T298" s="77" t="s">
        <v>660</v>
      </c>
      <c r="U298" s="77" t="s">
        <v>660</v>
      </c>
      <c r="V298" s="77" t="s">
        <v>660</v>
      </c>
      <c r="W298" s="77" t="s">
        <v>660</v>
      </c>
      <c r="X298" s="78" t="s">
        <v>660</v>
      </c>
    </row>
    <row r="299" spans="1:24">
      <c r="A299" s="28" t="s">
        <v>689</v>
      </c>
      <c r="B299" s="29" t="s">
        <v>689</v>
      </c>
      <c r="C299" s="2" t="s">
        <v>715</v>
      </c>
      <c r="D299" s="2" t="s">
        <v>15</v>
      </c>
      <c r="E299" s="27" t="s">
        <v>660</v>
      </c>
      <c r="F299" s="13" t="s">
        <v>660</v>
      </c>
      <c r="G299" s="2" t="s">
        <v>7</v>
      </c>
      <c r="H299" s="2">
        <v>46</v>
      </c>
      <c r="I299" s="10" t="s">
        <v>78</v>
      </c>
      <c r="J299" s="14" t="s">
        <v>692</v>
      </c>
      <c r="K299" s="15" t="s">
        <v>80</v>
      </c>
      <c r="L299" s="14" t="s">
        <v>693</v>
      </c>
      <c r="M299" s="80" t="s">
        <v>660</v>
      </c>
      <c r="N299" s="77" t="s">
        <v>660</v>
      </c>
      <c r="O299" s="77" t="s">
        <v>660</v>
      </c>
      <c r="P299" s="77" t="s">
        <v>660</v>
      </c>
      <c r="Q299" s="77" t="s">
        <v>660</v>
      </c>
      <c r="R299" s="77" t="s">
        <v>660</v>
      </c>
      <c r="S299" s="77" t="s">
        <v>660</v>
      </c>
      <c r="T299" s="77" t="s">
        <v>660</v>
      </c>
      <c r="U299" s="77" t="s">
        <v>660</v>
      </c>
      <c r="V299" s="77" t="s">
        <v>660</v>
      </c>
      <c r="W299" s="77" t="s">
        <v>660</v>
      </c>
      <c r="X299" s="78" t="s">
        <v>660</v>
      </c>
    </row>
    <row r="300" spans="1:24">
      <c r="A300" s="28" t="s">
        <v>689</v>
      </c>
      <c r="B300" s="29" t="s">
        <v>689</v>
      </c>
      <c r="C300" s="2" t="s">
        <v>716</v>
      </c>
      <c r="D300" s="2" t="s">
        <v>16</v>
      </c>
      <c r="E300" s="27" t="s">
        <v>660</v>
      </c>
      <c r="F300" s="13" t="s">
        <v>660</v>
      </c>
      <c r="G300" s="2" t="s">
        <v>8</v>
      </c>
      <c r="H300" s="2" t="s">
        <v>179</v>
      </c>
      <c r="I300" s="10" t="s">
        <v>78</v>
      </c>
      <c r="J300" s="14" t="s">
        <v>692</v>
      </c>
      <c r="K300" s="15" t="s">
        <v>80</v>
      </c>
      <c r="L300" s="14" t="s">
        <v>693</v>
      </c>
      <c r="M300" s="80" t="s">
        <v>660</v>
      </c>
      <c r="N300" s="77" t="s">
        <v>660</v>
      </c>
      <c r="O300" s="77" t="s">
        <v>660</v>
      </c>
      <c r="P300" s="77" t="s">
        <v>660</v>
      </c>
      <c r="Q300" s="77" t="s">
        <v>660</v>
      </c>
      <c r="R300" s="77" t="s">
        <v>660</v>
      </c>
      <c r="S300" s="77" t="s">
        <v>660</v>
      </c>
      <c r="T300" s="77" t="s">
        <v>660</v>
      </c>
      <c r="U300" s="77" t="s">
        <v>660</v>
      </c>
      <c r="V300" s="77" t="s">
        <v>660</v>
      </c>
      <c r="W300" s="77" t="s">
        <v>660</v>
      </c>
      <c r="X300" s="78" t="s">
        <v>660</v>
      </c>
    </row>
    <row r="301" spans="1:24">
      <c r="A301" s="28" t="s">
        <v>689</v>
      </c>
      <c r="B301" s="29" t="s">
        <v>689</v>
      </c>
      <c r="C301" s="2" t="s">
        <v>717</v>
      </c>
      <c r="D301" s="2" t="s">
        <v>23</v>
      </c>
      <c r="E301" s="27" t="s">
        <v>660</v>
      </c>
      <c r="F301" s="13" t="s">
        <v>660</v>
      </c>
      <c r="G301" s="2" t="s">
        <v>7</v>
      </c>
      <c r="H301" s="2" t="s">
        <v>691</v>
      </c>
      <c r="I301" s="10" t="s">
        <v>78</v>
      </c>
      <c r="J301" s="14" t="s">
        <v>692</v>
      </c>
      <c r="K301" s="15" t="s">
        <v>80</v>
      </c>
      <c r="L301" s="14" t="s">
        <v>693</v>
      </c>
      <c r="M301" s="80" t="s">
        <v>660</v>
      </c>
      <c r="N301" s="77" t="s">
        <v>660</v>
      </c>
      <c r="O301" s="77" t="s">
        <v>660</v>
      </c>
      <c r="P301" s="77" t="s">
        <v>660</v>
      </c>
      <c r="Q301" s="77" t="s">
        <v>660</v>
      </c>
      <c r="R301" s="77" t="s">
        <v>660</v>
      </c>
      <c r="S301" s="77" t="s">
        <v>660</v>
      </c>
      <c r="T301" s="77" t="s">
        <v>660</v>
      </c>
      <c r="U301" s="77" t="s">
        <v>660</v>
      </c>
      <c r="V301" s="77" t="s">
        <v>660</v>
      </c>
      <c r="W301" s="77" t="s">
        <v>660</v>
      </c>
      <c r="X301" s="78" t="s">
        <v>660</v>
      </c>
    </row>
    <row r="302" spans="1:24">
      <c r="A302" s="28" t="s">
        <v>689</v>
      </c>
      <c r="B302" s="29" t="s">
        <v>689</v>
      </c>
      <c r="C302" s="2" t="s">
        <v>718</v>
      </c>
      <c r="D302" s="2" t="s">
        <v>16</v>
      </c>
      <c r="E302" s="27" t="s">
        <v>660</v>
      </c>
      <c r="F302" s="13" t="s">
        <v>660</v>
      </c>
      <c r="G302" s="2" t="s">
        <v>8</v>
      </c>
      <c r="H302" s="2" t="s">
        <v>695</v>
      </c>
      <c r="I302" s="10" t="s">
        <v>78</v>
      </c>
      <c r="J302" s="14" t="s">
        <v>692</v>
      </c>
      <c r="K302" s="15" t="s">
        <v>80</v>
      </c>
      <c r="L302" s="14" t="s">
        <v>693</v>
      </c>
      <c r="M302" s="80" t="s">
        <v>660</v>
      </c>
      <c r="N302" s="77" t="s">
        <v>660</v>
      </c>
      <c r="O302" s="77" t="s">
        <v>660</v>
      </c>
      <c r="P302" s="77" t="s">
        <v>660</v>
      </c>
      <c r="Q302" s="77" t="s">
        <v>660</v>
      </c>
      <c r="R302" s="77" t="s">
        <v>660</v>
      </c>
      <c r="S302" s="77" t="s">
        <v>660</v>
      </c>
      <c r="T302" s="77" t="s">
        <v>660</v>
      </c>
      <c r="U302" s="77" t="s">
        <v>660</v>
      </c>
      <c r="V302" s="77" t="s">
        <v>660</v>
      </c>
      <c r="W302" s="77" t="s">
        <v>660</v>
      </c>
      <c r="X302" s="78" t="s">
        <v>660</v>
      </c>
    </row>
    <row r="303" spans="1:24">
      <c r="A303" s="28" t="s">
        <v>689</v>
      </c>
      <c r="B303" s="29" t="s">
        <v>689</v>
      </c>
      <c r="C303" s="2" t="s">
        <v>719</v>
      </c>
      <c r="D303" s="2" t="s">
        <v>16</v>
      </c>
      <c r="E303" s="27" t="s">
        <v>660</v>
      </c>
      <c r="F303" s="13" t="s">
        <v>660</v>
      </c>
      <c r="G303" s="2" t="s">
        <v>8</v>
      </c>
      <c r="H303" s="2" t="s">
        <v>698</v>
      </c>
      <c r="I303" s="10" t="s">
        <v>78</v>
      </c>
      <c r="J303" s="14" t="s">
        <v>692</v>
      </c>
      <c r="K303" s="15" t="s">
        <v>80</v>
      </c>
      <c r="L303" s="14" t="s">
        <v>693</v>
      </c>
      <c r="M303" s="80" t="s">
        <v>660</v>
      </c>
      <c r="N303" s="77" t="s">
        <v>660</v>
      </c>
      <c r="O303" s="77" t="s">
        <v>660</v>
      </c>
      <c r="P303" s="77" t="s">
        <v>660</v>
      </c>
      <c r="Q303" s="77" t="s">
        <v>660</v>
      </c>
      <c r="R303" s="77" t="s">
        <v>660</v>
      </c>
      <c r="S303" s="77" t="s">
        <v>660</v>
      </c>
      <c r="T303" s="77" t="s">
        <v>660</v>
      </c>
      <c r="U303" s="77" t="s">
        <v>660</v>
      </c>
      <c r="V303" s="77" t="s">
        <v>660</v>
      </c>
      <c r="W303" s="77" t="s">
        <v>660</v>
      </c>
      <c r="X303" s="78" t="s">
        <v>660</v>
      </c>
    </row>
    <row r="304" spans="1:24">
      <c r="A304" s="28" t="s">
        <v>689</v>
      </c>
      <c r="B304" s="29" t="s">
        <v>689</v>
      </c>
      <c r="C304" s="2" t="s">
        <v>720</v>
      </c>
      <c r="D304" s="2" t="s">
        <v>15</v>
      </c>
      <c r="E304" s="27" t="s">
        <v>660</v>
      </c>
      <c r="F304" s="13" t="s">
        <v>660</v>
      </c>
      <c r="G304" s="2" t="s">
        <v>7</v>
      </c>
      <c r="H304" s="2" t="s">
        <v>179</v>
      </c>
      <c r="I304" s="10" t="s">
        <v>78</v>
      </c>
      <c r="J304" s="14" t="s">
        <v>692</v>
      </c>
      <c r="K304" s="15" t="s">
        <v>80</v>
      </c>
      <c r="L304" s="14" t="s">
        <v>693</v>
      </c>
      <c r="M304" s="80" t="s">
        <v>660</v>
      </c>
      <c r="N304" s="77" t="s">
        <v>660</v>
      </c>
      <c r="O304" s="77" t="s">
        <v>660</v>
      </c>
      <c r="P304" s="77" t="s">
        <v>660</v>
      </c>
      <c r="Q304" s="77" t="s">
        <v>660</v>
      </c>
      <c r="R304" s="77" t="s">
        <v>660</v>
      </c>
      <c r="S304" s="77" t="s">
        <v>660</v>
      </c>
      <c r="T304" s="77" t="s">
        <v>660</v>
      </c>
      <c r="U304" s="77" t="s">
        <v>660</v>
      </c>
      <c r="V304" s="77" t="s">
        <v>660</v>
      </c>
      <c r="W304" s="77" t="s">
        <v>660</v>
      </c>
      <c r="X304" s="78" t="s">
        <v>660</v>
      </c>
    </row>
    <row r="305" spans="1:24">
      <c r="A305" s="28" t="s">
        <v>689</v>
      </c>
      <c r="B305" s="29" t="s">
        <v>689</v>
      </c>
      <c r="C305" s="2" t="s">
        <v>721</v>
      </c>
      <c r="D305" s="2" t="s">
        <v>710</v>
      </c>
      <c r="E305" s="27" t="s">
        <v>660</v>
      </c>
      <c r="F305" s="13" t="s">
        <v>660</v>
      </c>
      <c r="G305" s="2" t="s">
        <v>8</v>
      </c>
      <c r="H305" s="2" t="s">
        <v>698</v>
      </c>
      <c r="I305" s="10" t="s">
        <v>78</v>
      </c>
      <c r="J305" s="14" t="s">
        <v>692</v>
      </c>
      <c r="K305" s="15" t="s">
        <v>80</v>
      </c>
      <c r="L305" s="14" t="s">
        <v>693</v>
      </c>
      <c r="M305" s="80" t="s">
        <v>660</v>
      </c>
      <c r="N305" s="77" t="s">
        <v>660</v>
      </c>
      <c r="O305" s="77" t="s">
        <v>660</v>
      </c>
      <c r="P305" s="77" t="s">
        <v>660</v>
      </c>
      <c r="Q305" s="77" t="s">
        <v>660</v>
      </c>
      <c r="R305" s="77" t="s">
        <v>660</v>
      </c>
      <c r="S305" s="77" t="s">
        <v>660</v>
      </c>
      <c r="T305" s="77" t="s">
        <v>660</v>
      </c>
      <c r="U305" s="77" t="s">
        <v>660</v>
      </c>
      <c r="V305" s="77" t="s">
        <v>660</v>
      </c>
      <c r="W305" s="77" t="s">
        <v>660</v>
      </c>
      <c r="X305" s="78" t="s">
        <v>660</v>
      </c>
    </row>
    <row r="306" spans="1:24">
      <c r="A306" s="28" t="s">
        <v>689</v>
      </c>
      <c r="B306" s="29" t="s">
        <v>689</v>
      </c>
      <c r="C306" s="2" t="s">
        <v>722</v>
      </c>
      <c r="D306" s="2" t="s">
        <v>18</v>
      </c>
      <c r="E306" s="27" t="s">
        <v>660</v>
      </c>
      <c r="F306" s="13" t="s">
        <v>660</v>
      </c>
      <c r="G306" s="2" t="s">
        <v>8</v>
      </c>
      <c r="H306" s="2">
        <v>46</v>
      </c>
      <c r="I306" s="10" t="s">
        <v>78</v>
      </c>
      <c r="J306" s="14" t="s">
        <v>692</v>
      </c>
      <c r="K306" s="15" t="s">
        <v>80</v>
      </c>
      <c r="L306" s="14" t="s">
        <v>693</v>
      </c>
      <c r="M306" s="80" t="s">
        <v>660</v>
      </c>
      <c r="N306" s="77" t="s">
        <v>660</v>
      </c>
      <c r="O306" s="77" t="s">
        <v>660</v>
      </c>
      <c r="P306" s="77" t="s">
        <v>660</v>
      </c>
      <c r="Q306" s="77" t="s">
        <v>660</v>
      </c>
      <c r="R306" s="77" t="s">
        <v>660</v>
      </c>
      <c r="S306" s="77" t="s">
        <v>660</v>
      </c>
      <c r="T306" s="77" t="s">
        <v>660</v>
      </c>
      <c r="U306" s="77" t="s">
        <v>660</v>
      </c>
      <c r="V306" s="77" t="s">
        <v>660</v>
      </c>
      <c r="W306" s="77" t="s">
        <v>660</v>
      </c>
      <c r="X306" s="78" t="s">
        <v>660</v>
      </c>
    </row>
    <row r="307" spans="1:24">
      <c r="A307" s="28" t="s">
        <v>689</v>
      </c>
      <c r="B307" s="29" t="s">
        <v>689</v>
      </c>
      <c r="C307" s="2" t="s">
        <v>723</v>
      </c>
      <c r="D307" s="2" t="s">
        <v>15</v>
      </c>
      <c r="E307" s="27" t="s">
        <v>660</v>
      </c>
      <c r="F307" s="13" t="s">
        <v>660</v>
      </c>
      <c r="G307" s="2" t="s">
        <v>7</v>
      </c>
      <c r="H307" s="2" t="s">
        <v>698</v>
      </c>
      <c r="I307" s="10" t="s">
        <v>78</v>
      </c>
      <c r="J307" s="14" t="s">
        <v>692</v>
      </c>
      <c r="K307" s="15" t="s">
        <v>80</v>
      </c>
      <c r="L307" s="14" t="s">
        <v>693</v>
      </c>
      <c r="M307" s="80" t="s">
        <v>660</v>
      </c>
      <c r="N307" s="77" t="s">
        <v>660</v>
      </c>
      <c r="O307" s="77" t="s">
        <v>660</v>
      </c>
      <c r="P307" s="77" t="s">
        <v>660</v>
      </c>
      <c r="Q307" s="77" t="s">
        <v>660</v>
      </c>
      <c r="R307" s="77" t="s">
        <v>660</v>
      </c>
      <c r="S307" s="77" t="s">
        <v>660</v>
      </c>
      <c r="T307" s="77" t="s">
        <v>660</v>
      </c>
      <c r="U307" s="77" t="s">
        <v>660</v>
      </c>
      <c r="V307" s="77" t="s">
        <v>660</v>
      </c>
      <c r="W307" s="77" t="s">
        <v>660</v>
      </c>
      <c r="X307" s="78" t="s">
        <v>660</v>
      </c>
    </row>
    <row r="308" spans="1:24">
      <c r="A308" s="28" t="s">
        <v>689</v>
      </c>
      <c r="B308" s="29" t="s">
        <v>689</v>
      </c>
      <c r="C308" s="2" t="s">
        <v>724</v>
      </c>
      <c r="D308" s="2" t="s">
        <v>15</v>
      </c>
      <c r="E308" s="27" t="s">
        <v>660</v>
      </c>
      <c r="F308" s="13" t="s">
        <v>660</v>
      </c>
      <c r="G308" s="2" t="s">
        <v>7</v>
      </c>
      <c r="H308" s="2" t="s">
        <v>179</v>
      </c>
      <c r="I308" s="10" t="s">
        <v>78</v>
      </c>
      <c r="J308" s="14" t="s">
        <v>692</v>
      </c>
      <c r="K308" s="15" t="s">
        <v>80</v>
      </c>
      <c r="L308" s="14" t="s">
        <v>693</v>
      </c>
      <c r="M308" s="80" t="s">
        <v>660</v>
      </c>
      <c r="N308" s="77" t="s">
        <v>660</v>
      </c>
      <c r="O308" s="77" t="s">
        <v>660</v>
      </c>
      <c r="P308" s="77" t="s">
        <v>660</v>
      </c>
      <c r="Q308" s="77" t="s">
        <v>660</v>
      </c>
      <c r="R308" s="77" t="s">
        <v>660</v>
      </c>
      <c r="S308" s="77" t="s">
        <v>660</v>
      </c>
      <c r="T308" s="77" t="s">
        <v>660</v>
      </c>
      <c r="U308" s="77" t="s">
        <v>660</v>
      </c>
      <c r="V308" s="77" t="s">
        <v>660</v>
      </c>
      <c r="W308" s="77" t="s">
        <v>660</v>
      </c>
      <c r="X308" s="78" t="s">
        <v>660</v>
      </c>
    </row>
    <row r="309" spans="1:24">
      <c r="A309" s="28" t="s">
        <v>689</v>
      </c>
      <c r="B309" s="29" t="s">
        <v>689</v>
      </c>
      <c r="C309" s="2" t="s">
        <v>725</v>
      </c>
      <c r="D309" s="2" t="s">
        <v>710</v>
      </c>
      <c r="E309" s="27" t="s">
        <v>660</v>
      </c>
      <c r="F309" s="13" t="s">
        <v>660</v>
      </c>
      <c r="G309" s="2" t="s">
        <v>7</v>
      </c>
      <c r="H309" s="2" t="s">
        <v>179</v>
      </c>
      <c r="I309" s="10" t="s">
        <v>78</v>
      </c>
      <c r="J309" s="14" t="s">
        <v>692</v>
      </c>
      <c r="K309" s="15" t="s">
        <v>80</v>
      </c>
      <c r="L309" s="14" t="s">
        <v>693</v>
      </c>
      <c r="M309" s="80" t="s">
        <v>660</v>
      </c>
      <c r="N309" s="77" t="s">
        <v>660</v>
      </c>
      <c r="O309" s="77" t="s">
        <v>660</v>
      </c>
      <c r="P309" s="77" t="s">
        <v>660</v>
      </c>
      <c r="Q309" s="77" t="s">
        <v>660</v>
      </c>
      <c r="R309" s="77" t="s">
        <v>660</v>
      </c>
      <c r="S309" s="77" t="s">
        <v>660</v>
      </c>
      <c r="T309" s="77" t="s">
        <v>660</v>
      </c>
      <c r="U309" s="77" t="s">
        <v>660</v>
      </c>
      <c r="V309" s="77" t="s">
        <v>660</v>
      </c>
      <c r="W309" s="77" t="s">
        <v>660</v>
      </c>
      <c r="X309" s="78" t="s">
        <v>660</v>
      </c>
    </row>
    <row r="310" spans="1:24">
      <c r="A310" s="28" t="s">
        <v>689</v>
      </c>
      <c r="B310" s="29" t="s">
        <v>689</v>
      </c>
      <c r="C310" s="2" t="s">
        <v>726</v>
      </c>
      <c r="D310" s="2" t="s">
        <v>18</v>
      </c>
      <c r="E310" s="27" t="s">
        <v>660</v>
      </c>
      <c r="F310" s="13" t="s">
        <v>660</v>
      </c>
      <c r="G310" s="2" t="s">
        <v>8</v>
      </c>
      <c r="H310" s="2" t="s">
        <v>179</v>
      </c>
      <c r="I310" s="10" t="s">
        <v>78</v>
      </c>
      <c r="J310" s="14" t="s">
        <v>692</v>
      </c>
      <c r="K310" s="15" t="s">
        <v>80</v>
      </c>
      <c r="L310" s="14" t="s">
        <v>693</v>
      </c>
      <c r="M310" s="80" t="s">
        <v>660</v>
      </c>
      <c r="N310" s="77" t="s">
        <v>660</v>
      </c>
      <c r="O310" s="77" t="s">
        <v>660</v>
      </c>
      <c r="P310" s="77" t="s">
        <v>660</v>
      </c>
      <c r="Q310" s="77" t="s">
        <v>660</v>
      </c>
      <c r="R310" s="77" t="s">
        <v>660</v>
      </c>
      <c r="S310" s="77" t="s">
        <v>660</v>
      </c>
      <c r="T310" s="77" t="s">
        <v>660</v>
      </c>
      <c r="U310" s="77" t="s">
        <v>660</v>
      </c>
      <c r="V310" s="77" t="s">
        <v>660</v>
      </c>
      <c r="W310" s="77" t="s">
        <v>660</v>
      </c>
      <c r="X310" s="78" t="s">
        <v>660</v>
      </c>
    </row>
    <row r="311" spans="1:24">
      <c r="A311" s="28" t="s">
        <v>689</v>
      </c>
      <c r="B311" s="29" t="s">
        <v>689</v>
      </c>
      <c r="C311" s="2" t="s">
        <v>727</v>
      </c>
      <c r="D311" s="2" t="s">
        <v>23</v>
      </c>
      <c r="E311" s="27" t="s">
        <v>660</v>
      </c>
      <c r="F311" s="13" t="s">
        <v>660</v>
      </c>
      <c r="G311" s="2" t="s">
        <v>8</v>
      </c>
      <c r="H311" s="2" t="s">
        <v>691</v>
      </c>
      <c r="I311" s="10" t="s">
        <v>78</v>
      </c>
      <c r="J311" s="14" t="s">
        <v>692</v>
      </c>
      <c r="K311" s="15" t="s">
        <v>80</v>
      </c>
      <c r="L311" s="14" t="s">
        <v>693</v>
      </c>
      <c r="M311" s="80" t="s">
        <v>660</v>
      </c>
      <c r="N311" s="77" t="s">
        <v>660</v>
      </c>
      <c r="O311" s="77" t="s">
        <v>660</v>
      </c>
      <c r="P311" s="77" t="s">
        <v>660</v>
      </c>
      <c r="Q311" s="77" t="s">
        <v>660</v>
      </c>
      <c r="R311" s="77" t="s">
        <v>660</v>
      </c>
      <c r="S311" s="77" t="s">
        <v>660</v>
      </c>
      <c r="T311" s="77" t="s">
        <v>660</v>
      </c>
      <c r="U311" s="77" t="s">
        <v>660</v>
      </c>
      <c r="V311" s="77" t="s">
        <v>660</v>
      </c>
      <c r="W311" s="77" t="s">
        <v>660</v>
      </c>
      <c r="X311" s="78" t="s">
        <v>660</v>
      </c>
    </row>
    <row r="312" spans="1:24">
      <c r="A312" s="28" t="s">
        <v>689</v>
      </c>
      <c r="B312" s="29" t="s">
        <v>689</v>
      </c>
      <c r="C312" s="2" t="s">
        <v>728</v>
      </c>
      <c r="D312" s="2" t="s">
        <v>729</v>
      </c>
      <c r="E312" s="27" t="s">
        <v>660</v>
      </c>
      <c r="F312" s="13" t="s">
        <v>660</v>
      </c>
      <c r="G312" s="2" t="s">
        <v>8</v>
      </c>
      <c r="H312" s="2">
        <v>46</v>
      </c>
      <c r="I312" s="10" t="s">
        <v>78</v>
      </c>
      <c r="J312" s="14" t="s">
        <v>692</v>
      </c>
      <c r="K312" s="15" t="s">
        <v>80</v>
      </c>
      <c r="L312" s="14" t="s">
        <v>693</v>
      </c>
      <c r="M312" s="80" t="s">
        <v>660</v>
      </c>
      <c r="N312" s="77" t="s">
        <v>660</v>
      </c>
      <c r="O312" s="77" t="s">
        <v>660</v>
      </c>
      <c r="P312" s="77" t="s">
        <v>660</v>
      </c>
      <c r="Q312" s="77" t="s">
        <v>660</v>
      </c>
      <c r="R312" s="77" t="s">
        <v>660</v>
      </c>
      <c r="S312" s="77" t="s">
        <v>660</v>
      </c>
      <c r="T312" s="77" t="s">
        <v>660</v>
      </c>
      <c r="U312" s="77" t="s">
        <v>660</v>
      </c>
      <c r="V312" s="77" t="s">
        <v>660</v>
      </c>
      <c r="W312" s="77" t="s">
        <v>660</v>
      </c>
      <c r="X312" s="78" t="s">
        <v>660</v>
      </c>
    </row>
    <row r="313" spans="1:24">
      <c r="A313" s="28" t="s">
        <v>689</v>
      </c>
      <c r="B313" s="29" t="s">
        <v>689</v>
      </c>
      <c r="C313" s="2" t="s">
        <v>730</v>
      </c>
      <c r="D313" s="2" t="s">
        <v>18</v>
      </c>
      <c r="E313" s="27" t="s">
        <v>660</v>
      </c>
      <c r="F313" s="13" t="s">
        <v>660</v>
      </c>
      <c r="G313" s="2" t="s">
        <v>8</v>
      </c>
      <c r="H313" s="2">
        <v>46</v>
      </c>
      <c r="I313" s="10" t="s">
        <v>78</v>
      </c>
      <c r="J313" s="14" t="s">
        <v>692</v>
      </c>
      <c r="K313" s="15" t="s">
        <v>80</v>
      </c>
      <c r="L313" s="14" t="s">
        <v>693</v>
      </c>
      <c r="M313" s="80" t="s">
        <v>660</v>
      </c>
      <c r="N313" s="77" t="s">
        <v>660</v>
      </c>
      <c r="O313" s="77" t="s">
        <v>660</v>
      </c>
      <c r="P313" s="77" t="s">
        <v>660</v>
      </c>
      <c r="Q313" s="77" t="s">
        <v>660</v>
      </c>
      <c r="R313" s="77" t="s">
        <v>660</v>
      </c>
      <c r="S313" s="77" t="s">
        <v>660</v>
      </c>
      <c r="T313" s="77" t="s">
        <v>660</v>
      </c>
      <c r="U313" s="77" t="s">
        <v>660</v>
      </c>
      <c r="V313" s="77" t="s">
        <v>660</v>
      </c>
      <c r="W313" s="77" t="s">
        <v>660</v>
      </c>
      <c r="X313" s="78" t="s">
        <v>660</v>
      </c>
    </row>
    <row r="314" spans="1:24">
      <c r="A314" s="28" t="s">
        <v>689</v>
      </c>
      <c r="B314" s="29" t="s">
        <v>689</v>
      </c>
      <c r="C314" s="2" t="s">
        <v>731</v>
      </c>
      <c r="D314" s="2" t="s">
        <v>15</v>
      </c>
      <c r="E314" s="27" t="s">
        <v>660</v>
      </c>
      <c r="F314" s="13" t="s">
        <v>660</v>
      </c>
      <c r="G314" s="2" t="s">
        <v>7</v>
      </c>
      <c r="H314" s="2" t="s">
        <v>695</v>
      </c>
      <c r="I314" s="10" t="s">
        <v>78</v>
      </c>
      <c r="J314" s="14" t="s">
        <v>692</v>
      </c>
      <c r="K314" s="15" t="s">
        <v>80</v>
      </c>
      <c r="L314" s="14" t="s">
        <v>693</v>
      </c>
      <c r="M314" s="80" t="s">
        <v>660</v>
      </c>
      <c r="N314" s="77" t="s">
        <v>660</v>
      </c>
      <c r="O314" s="77" t="s">
        <v>660</v>
      </c>
      <c r="P314" s="77" t="s">
        <v>660</v>
      </c>
      <c r="Q314" s="77" t="s">
        <v>660</v>
      </c>
      <c r="R314" s="77" t="s">
        <v>660</v>
      </c>
      <c r="S314" s="77" t="s">
        <v>660</v>
      </c>
      <c r="T314" s="77" t="s">
        <v>660</v>
      </c>
      <c r="U314" s="77" t="s">
        <v>660</v>
      </c>
      <c r="V314" s="77" t="s">
        <v>660</v>
      </c>
      <c r="W314" s="77" t="s">
        <v>660</v>
      </c>
      <c r="X314" s="78" t="s">
        <v>660</v>
      </c>
    </row>
    <row r="315" spans="1:24">
      <c r="A315" s="28" t="s">
        <v>689</v>
      </c>
      <c r="B315" s="29" t="s">
        <v>689</v>
      </c>
      <c r="C315" s="2" t="s">
        <v>732</v>
      </c>
      <c r="D315" s="2" t="s">
        <v>16</v>
      </c>
      <c r="E315" s="27" t="s">
        <v>660</v>
      </c>
      <c r="F315" s="13" t="s">
        <v>660</v>
      </c>
      <c r="G315" s="2" t="s">
        <v>7</v>
      </c>
      <c r="H315" s="2" t="s">
        <v>691</v>
      </c>
      <c r="I315" s="10" t="s">
        <v>78</v>
      </c>
      <c r="J315" s="14" t="s">
        <v>692</v>
      </c>
      <c r="K315" s="15" t="s">
        <v>80</v>
      </c>
      <c r="L315" s="14" t="s">
        <v>693</v>
      </c>
      <c r="M315" s="80" t="s">
        <v>660</v>
      </c>
      <c r="N315" s="77" t="s">
        <v>660</v>
      </c>
      <c r="O315" s="77" t="s">
        <v>660</v>
      </c>
      <c r="P315" s="77" t="s">
        <v>660</v>
      </c>
      <c r="Q315" s="77" t="s">
        <v>660</v>
      </c>
      <c r="R315" s="77" t="s">
        <v>660</v>
      </c>
      <c r="S315" s="77" t="s">
        <v>660</v>
      </c>
      <c r="T315" s="77" t="s">
        <v>660</v>
      </c>
      <c r="U315" s="77" t="s">
        <v>660</v>
      </c>
      <c r="V315" s="77" t="s">
        <v>660</v>
      </c>
      <c r="W315" s="77" t="s">
        <v>660</v>
      </c>
      <c r="X315" s="78" t="s">
        <v>660</v>
      </c>
    </row>
    <row r="316" spans="1:24">
      <c r="A316" s="28" t="s">
        <v>689</v>
      </c>
      <c r="B316" s="29" t="s">
        <v>689</v>
      </c>
      <c r="C316" s="2" t="s">
        <v>733</v>
      </c>
      <c r="D316" s="2" t="s">
        <v>15</v>
      </c>
      <c r="E316" s="27" t="s">
        <v>660</v>
      </c>
      <c r="F316" s="13" t="s">
        <v>660</v>
      </c>
      <c r="G316" s="2" t="s">
        <v>7</v>
      </c>
      <c r="H316" s="2">
        <v>46</v>
      </c>
      <c r="I316" s="10" t="s">
        <v>78</v>
      </c>
      <c r="J316" s="14" t="s">
        <v>692</v>
      </c>
      <c r="K316" s="15" t="s">
        <v>80</v>
      </c>
      <c r="L316" s="14" t="s">
        <v>693</v>
      </c>
      <c r="M316" s="80" t="s">
        <v>660</v>
      </c>
      <c r="N316" s="77" t="s">
        <v>660</v>
      </c>
      <c r="O316" s="77" t="s">
        <v>660</v>
      </c>
      <c r="P316" s="77" t="s">
        <v>660</v>
      </c>
      <c r="Q316" s="77" t="s">
        <v>660</v>
      </c>
      <c r="R316" s="77" t="s">
        <v>660</v>
      </c>
      <c r="S316" s="77" t="s">
        <v>660</v>
      </c>
      <c r="T316" s="77" t="s">
        <v>660</v>
      </c>
      <c r="U316" s="77" t="s">
        <v>660</v>
      </c>
      <c r="V316" s="77" t="s">
        <v>660</v>
      </c>
      <c r="W316" s="77" t="s">
        <v>660</v>
      </c>
      <c r="X316" s="78" t="s">
        <v>660</v>
      </c>
    </row>
    <row r="317" spans="1:24">
      <c r="A317" s="28" t="s">
        <v>689</v>
      </c>
      <c r="B317" s="29" t="s">
        <v>689</v>
      </c>
      <c r="C317" s="2" t="s">
        <v>734</v>
      </c>
      <c r="D317" s="2" t="s">
        <v>710</v>
      </c>
      <c r="E317" s="27" t="s">
        <v>660</v>
      </c>
      <c r="F317" s="13" t="s">
        <v>660</v>
      </c>
      <c r="G317" s="2" t="s">
        <v>8</v>
      </c>
      <c r="H317" s="2" t="s">
        <v>695</v>
      </c>
      <c r="I317" s="10" t="s">
        <v>78</v>
      </c>
      <c r="J317" s="14" t="s">
        <v>692</v>
      </c>
      <c r="K317" s="15" t="s">
        <v>80</v>
      </c>
      <c r="L317" s="14" t="s">
        <v>693</v>
      </c>
      <c r="M317" s="80" t="s">
        <v>660</v>
      </c>
      <c r="N317" s="77" t="s">
        <v>660</v>
      </c>
      <c r="O317" s="77" t="s">
        <v>660</v>
      </c>
      <c r="P317" s="77" t="s">
        <v>660</v>
      </c>
      <c r="Q317" s="77" t="s">
        <v>660</v>
      </c>
      <c r="R317" s="77" t="s">
        <v>660</v>
      </c>
      <c r="S317" s="77" t="s">
        <v>660</v>
      </c>
      <c r="T317" s="77" t="s">
        <v>660</v>
      </c>
      <c r="U317" s="77" t="s">
        <v>660</v>
      </c>
      <c r="V317" s="77" t="s">
        <v>660</v>
      </c>
      <c r="W317" s="77" t="s">
        <v>660</v>
      </c>
      <c r="X317" s="78" t="s">
        <v>660</v>
      </c>
    </row>
    <row r="318" spans="1:24">
      <c r="A318" s="28" t="s">
        <v>689</v>
      </c>
      <c r="B318" s="29" t="s">
        <v>689</v>
      </c>
      <c r="C318" s="2" t="s">
        <v>735</v>
      </c>
      <c r="D318" s="2" t="s">
        <v>23</v>
      </c>
      <c r="E318" s="27" t="s">
        <v>660</v>
      </c>
      <c r="F318" s="13" t="s">
        <v>660</v>
      </c>
      <c r="G318" s="2" t="s">
        <v>8</v>
      </c>
      <c r="H318" s="2">
        <v>46</v>
      </c>
      <c r="I318" s="10" t="s">
        <v>78</v>
      </c>
      <c r="J318" s="14" t="s">
        <v>692</v>
      </c>
      <c r="K318" s="15" t="s">
        <v>80</v>
      </c>
      <c r="L318" s="14" t="s">
        <v>693</v>
      </c>
      <c r="M318" s="80" t="s">
        <v>660</v>
      </c>
      <c r="N318" s="77" t="s">
        <v>660</v>
      </c>
      <c r="O318" s="77" t="s">
        <v>660</v>
      </c>
      <c r="P318" s="77" t="s">
        <v>660</v>
      </c>
      <c r="Q318" s="77" t="s">
        <v>660</v>
      </c>
      <c r="R318" s="77" t="s">
        <v>660</v>
      </c>
      <c r="S318" s="77" t="s">
        <v>660</v>
      </c>
      <c r="T318" s="77" t="s">
        <v>660</v>
      </c>
      <c r="U318" s="77" t="s">
        <v>660</v>
      </c>
      <c r="V318" s="77" t="s">
        <v>660</v>
      </c>
      <c r="W318" s="77" t="s">
        <v>660</v>
      </c>
      <c r="X318" s="78" t="s">
        <v>660</v>
      </c>
    </row>
    <row r="319" spans="1:24">
      <c r="A319" s="28" t="s">
        <v>689</v>
      </c>
      <c r="B319" s="29" t="s">
        <v>689</v>
      </c>
      <c r="C319" s="2" t="s">
        <v>736</v>
      </c>
      <c r="D319" s="2" t="s">
        <v>25</v>
      </c>
      <c r="E319" s="27" t="s">
        <v>660</v>
      </c>
      <c r="F319" s="13" t="s">
        <v>660</v>
      </c>
      <c r="G319" s="2" t="s">
        <v>8</v>
      </c>
      <c r="H319" s="2" t="s">
        <v>695</v>
      </c>
      <c r="I319" s="10" t="s">
        <v>78</v>
      </c>
      <c r="J319" s="14" t="s">
        <v>692</v>
      </c>
      <c r="K319" s="15" t="s">
        <v>80</v>
      </c>
      <c r="L319" s="14" t="s">
        <v>693</v>
      </c>
      <c r="M319" s="80" t="s">
        <v>660</v>
      </c>
      <c r="N319" s="77" t="s">
        <v>660</v>
      </c>
      <c r="O319" s="77" t="s">
        <v>660</v>
      </c>
      <c r="P319" s="77" t="s">
        <v>660</v>
      </c>
      <c r="Q319" s="77" t="s">
        <v>660</v>
      </c>
      <c r="R319" s="77" t="s">
        <v>660</v>
      </c>
      <c r="S319" s="77" t="s">
        <v>660</v>
      </c>
      <c r="T319" s="77" t="s">
        <v>660</v>
      </c>
      <c r="U319" s="77" t="s">
        <v>660</v>
      </c>
      <c r="V319" s="77" t="s">
        <v>660</v>
      </c>
      <c r="W319" s="77" t="s">
        <v>660</v>
      </c>
      <c r="X319" s="78" t="s">
        <v>660</v>
      </c>
    </row>
    <row r="320" spans="1:24">
      <c r="A320" s="28" t="s">
        <v>689</v>
      </c>
      <c r="B320" s="29" t="s">
        <v>689</v>
      </c>
      <c r="C320" s="2" t="s">
        <v>737</v>
      </c>
      <c r="D320" s="2" t="s">
        <v>700</v>
      </c>
      <c r="E320" s="27" t="s">
        <v>660</v>
      </c>
      <c r="F320" s="13" t="s">
        <v>660</v>
      </c>
      <c r="G320" s="2" t="s">
        <v>8</v>
      </c>
      <c r="H320" s="2" t="s">
        <v>698</v>
      </c>
      <c r="I320" s="10" t="s">
        <v>78</v>
      </c>
      <c r="J320" s="14" t="s">
        <v>692</v>
      </c>
      <c r="K320" s="15" t="s">
        <v>80</v>
      </c>
      <c r="L320" s="14" t="s">
        <v>693</v>
      </c>
      <c r="M320" s="80" t="s">
        <v>660</v>
      </c>
      <c r="N320" s="77" t="s">
        <v>660</v>
      </c>
      <c r="O320" s="77" t="s">
        <v>660</v>
      </c>
      <c r="P320" s="77" t="s">
        <v>660</v>
      </c>
      <c r="Q320" s="77" t="s">
        <v>660</v>
      </c>
      <c r="R320" s="77" t="s">
        <v>660</v>
      </c>
      <c r="S320" s="77" t="s">
        <v>660</v>
      </c>
      <c r="T320" s="77" t="s">
        <v>660</v>
      </c>
      <c r="U320" s="77" t="s">
        <v>660</v>
      </c>
      <c r="V320" s="77" t="s">
        <v>660</v>
      </c>
      <c r="W320" s="77" t="s">
        <v>660</v>
      </c>
      <c r="X320" s="78" t="s">
        <v>660</v>
      </c>
    </row>
    <row r="321" spans="1:24">
      <c r="A321" s="28" t="s">
        <v>689</v>
      </c>
      <c r="B321" s="29" t="s">
        <v>689</v>
      </c>
      <c r="C321" s="2" t="s">
        <v>738</v>
      </c>
      <c r="D321" s="2" t="s">
        <v>700</v>
      </c>
      <c r="E321" s="27" t="s">
        <v>660</v>
      </c>
      <c r="F321" s="13" t="s">
        <v>660</v>
      </c>
      <c r="G321" s="2" t="s">
        <v>8</v>
      </c>
      <c r="H321" s="2" t="s">
        <v>691</v>
      </c>
      <c r="I321" s="10" t="s">
        <v>78</v>
      </c>
      <c r="J321" s="14" t="s">
        <v>692</v>
      </c>
      <c r="K321" s="15" t="s">
        <v>80</v>
      </c>
      <c r="L321" s="14" t="s">
        <v>693</v>
      </c>
      <c r="M321" s="80" t="s">
        <v>660</v>
      </c>
      <c r="N321" s="77" t="s">
        <v>660</v>
      </c>
      <c r="O321" s="77" t="s">
        <v>660</v>
      </c>
      <c r="P321" s="77" t="s">
        <v>660</v>
      </c>
      <c r="Q321" s="77" t="s">
        <v>660</v>
      </c>
      <c r="R321" s="77" t="s">
        <v>660</v>
      </c>
      <c r="S321" s="77" t="s">
        <v>660</v>
      </c>
      <c r="T321" s="77" t="s">
        <v>660</v>
      </c>
      <c r="U321" s="77" t="s">
        <v>660</v>
      </c>
      <c r="V321" s="77" t="s">
        <v>660</v>
      </c>
      <c r="W321" s="77" t="s">
        <v>660</v>
      </c>
      <c r="X321" s="78" t="s">
        <v>660</v>
      </c>
    </row>
    <row r="322" spans="1:24">
      <c r="A322" s="28" t="s">
        <v>689</v>
      </c>
      <c r="B322" s="29" t="s">
        <v>689</v>
      </c>
      <c r="C322" s="2" t="s">
        <v>739</v>
      </c>
      <c r="D322" s="2" t="s">
        <v>740</v>
      </c>
      <c r="E322" s="27" t="s">
        <v>660</v>
      </c>
      <c r="F322" s="13" t="s">
        <v>660</v>
      </c>
      <c r="G322" s="2" t="s">
        <v>7</v>
      </c>
      <c r="H322" s="2" t="s">
        <v>179</v>
      </c>
      <c r="I322" s="10" t="s">
        <v>78</v>
      </c>
      <c r="J322" s="14" t="s">
        <v>692</v>
      </c>
      <c r="K322" s="15" t="s">
        <v>80</v>
      </c>
      <c r="L322" s="14" t="s">
        <v>693</v>
      </c>
      <c r="M322" s="80" t="s">
        <v>660</v>
      </c>
      <c r="N322" s="77" t="s">
        <v>660</v>
      </c>
      <c r="O322" s="77" t="s">
        <v>660</v>
      </c>
      <c r="P322" s="77" t="s">
        <v>660</v>
      </c>
      <c r="Q322" s="77" t="s">
        <v>660</v>
      </c>
      <c r="R322" s="77" t="s">
        <v>660</v>
      </c>
      <c r="S322" s="77" t="s">
        <v>660</v>
      </c>
      <c r="T322" s="77" t="s">
        <v>660</v>
      </c>
      <c r="U322" s="77" t="s">
        <v>660</v>
      </c>
      <c r="V322" s="77" t="s">
        <v>660</v>
      </c>
      <c r="W322" s="77" t="s">
        <v>660</v>
      </c>
      <c r="X322" s="78" t="s">
        <v>660</v>
      </c>
    </row>
    <row r="323" spans="1:24">
      <c r="A323" s="28" t="s">
        <v>689</v>
      </c>
      <c r="B323" s="29" t="s">
        <v>689</v>
      </c>
      <c r="C323" s="2" t="s">
        <v>741</v>
      </c>
      <c r="D323" s="2" t="s">
        <v>18</v>
      </c>
      <c r="E323" s="27" t="s">
        <v>660</v>
      </c>
      <c r="F323" s="13" t="s">
        <v>660</v>
      </c>
      <c r="G323" s="2" t="s">
        <v>8</v>
      </c>
      <c r="H323" s="2" t="s">
        <v>695</v>
      </c>
      <c r="I323" s="10" t="s">
        <v>78</v>
      </c>
      <c r="J323" s="14" t="s">
        <v>692</v>
      </c>
      <c r="K323" s="15" t="s">
        <v>80</v>
      </c>
      <c r="L323" s="14" t="s">
        <v>693</v>
      </c>
      <c r="M323" s="80" t="s">
        <v>660</v>
      </c>
      <c r="N323" s="77" t="s">
        <v>660</v>
      </c>
      <c r="O323" s="77" t="s">
        <v>660</v>
      </c>
      <c r="P323" s="77" t="s">
        <v>660</v>
      </c>
      <c r="Q323" s="77" t="s">
        <v>660</v>
      </c>
      <c r="R323" s="77" t="s">
        <v>660</v>
      </c>
      <c r="S323" s="77" t="s">
        <v>660</v>
      </c>
      <c r="T323" s="77" t="s">
        <v>660</v>
      </c>
      <c r="U323" s="77" t="s">
        <v>660</v>
      </c>
      <c r="V323" s="77" t="s">
        <v>660</v>
      </c>
      <c r="W323" s="77" t="s">
        <v>660</v>
      </c>
      <c r="X323" s="78" t="s">
        <v>660</v>
      </c>
    </row>
    <row r="324" spans="1:24">
      <c r="A324" s="28" t="s">
        <v>689</v>
      </c>
      <c r="B324" s="29" t="s">
        <v>689</v>
      </c>
      <c r="C324" s="2" t="s">
        <v>742</v>
      </c>
      <c r="D324" s="2" t="s">
        <v>15</v>
      </c>
      <c r="E324" s="27" t="s">
        <v>660</v>
      </c>
      <c r="F324" s="13" t="s">
        <v>660</v>
      </c>
      <c r="G324" s="2" t="s">
        <v>7</v>
      </c>
      <c r="H324" s="2" t="s">
        <v>695</v>
      </c>
      <c r="I324" s="10" t="s">
        <v>78</v>
      </c>
      <c r="J324" s="14" t="s">
        <v>692</v>
      </c>
      <c r="K324" s="15" t="s">
        <v>80</v>
      </c>
      <c r="L324" s="14" t="s">
        <v>693</v>
      </c>
      <c r="M324" s="80" t="s">
        <v>660</v>
      </c>
      <c r="N324" s="77" t="s">
        <v>660</v>
      </c>
      <c r="O324" s="77" t="s">
        <v>660</v>
      </c>
      <c r="P324" s="77" t="s">
        <v>660</v>
      </c>
      <c r="Q324" s="77" t="s">
        <v>660</v>
      </c>
      <c r="R324" s="77" t="s">
        <v>660</v>
      </c>
      <c r="S324" s="77" t="s">
        <v>660</v>
      </c>
      <c r="T324" s="77" t="s">
        <v>660</v>
      </c>
      <c r="U324" s="77" t="s">
        <v>660</v>
      </c>
      <c r="V324" s="77" t="s">
        <v>660</v>
      </c>
      <c r="W324" s="77" t="s">
        <v>660</v>
      </c>
      <c r="X324" s="78" t="s">
        <v>660</v>
      </c>
    </row>
    <row r="325" spans="1:24">
      <c r="A325" s="28" t="s">
        <v>689</v>
      </c>
      <c r="B325" s="29" t="s">
        <v>689</v>
      </c>
      <c r="C325" s="2" t="s">
        <v>743</v>
      </c>
      <c r="D325" s="2" t="s">
        <v>700</v>
      </c>
      <c r="E325" s="27" t="s">
        <v>660</v>
      </c>
      <c r="F325" s="13" t="s">
        <v>660</v>
      </c>
      <c r="G325" s="2" t="s">
        <v>8</v>
      </c>
      <c r="H325" s="2" t="s">
        <v>698</v>
      </c>
      <c r="I325" s="10" t="s">
        <v>78</v>
      </c>
      <c r="J325" s="14" t="s">
        <v>692</v>
      </c>
      <c r="K325" s="15" t="s">
        <v>80</v>
      </c>
      <c r="L325" s="14" t="s">
        <v>693</v>
      </c>
      <c r="M325" s="80" t="s">
        <v>660</v>
      </c>
      <c r="N325" s="77" t="s">
        <v>660</v>
      </c>
      <c r="O325" s="77" t="s">
        <v>660</v>
      </c>
      <c r="P325" s="77" t="s">
        <v>660</v>
      </c>
      <c r="Q325" s="77" t="s">
        <v>660</v>
      </c>
      <c r="R325" s="77" t="s">
        <v>660</v>
      </c>
      <c r="S325" s="77" t="s">
        <v>660</v>
      </c>
      <c r="T325" s="77" t="s">
        <v>660</v>
      </c>
      <c r="U325" s="77" t="s">
        <v>660</v>
      </c>
      <c r="V325" s="77" t="s">
        <v>660</v>
      </c>
      <c r="W325" s="77" t="s">
        <v>660</v>
      </c>
      <c r="X325" s="78" t="s">
        <v>660</v>
      </c>
    </row>
    <row r="326" spans="1:24">
      <c r="A326" s="28" t="s">
        <v>689</v>
      </c>
      <c r="B326" s="29" t="s">
        <v>689</v>
      </c>
      <c r="C326" s="2" t="s">
        <v>744</v>
      </c>
      <c r="D326" s="2" t="s">
        <v>712</v>
      </c>
      <c r="E326" s="27" t="s">
        <v>660</v>
      </c>
      <c r="F326" s="13" t="s">
        <v>660</v>
      </c>
      <c r="G326" s="2" t="s">
        <v>8</v>
      </c>
      <c r="H326" s="2" t="s">
        <v>698</v>
      </c>
      <c r="I326" s="10" t="s">
        <v>78</v>
      </c>
      <c r="J326" s="14" t="s">
        <v>692</v>
      </c>
      <c r="K326" s="15" t="s">
        <v>80</v>
      </c>
      <c r="L326" s="14" t="s">
        <v>693</v>
      </c>
      <c r="M326" s="80" t="s">
        <v>660</v>
      </c>
      <c r="N326" s="77" t="s">
        <v>660</v>
      </c>
      <c r="O326" s="77" t="s">
        <v>660</v>
      </c>
      <c r="P326" s="77" t="s">
        <v>660</v>
      </c>
      <c r="Q326" s="77" t="s">
        <v>660</v>
      </c>
      <c r="R326" s="77" t="s">
        <v>660</v>
      </c>
      <c r="S326" s="77" t="s">
        <v>660</v>
      </c>
      <c r="T326" s="77" t="s">
        <v>660</v>
      </c>
      <c r="U326" s="77" t="s">
        <v>660</v>
      </c>
      <c r="V326" s="77" t="s">
        <v>660</v>
      </c>
      <c r="W326" s="77" t="s">
        <v>660</v>
      </c>
      <c r="X326" s="78" t="s">
        <v>660</v>
      </c>
    </row>
    <row r="327" spans="1:24">
      <c r="A327" s="28" t="s">
        <v>689</v>
      </c>
      <c r="B327" s="29" t="s">
        <v>689</v>
      </c>
      <c r="C327" s="2" t="s">
        <v>745</v>
      </c>
      <c r="D327" s="2" t="s">
        <v>712</v>
      </c>
      <c r="E327" s="27" t="s">
        <v>660</v>
      </c>
      <c r="F327" s="13" t="s">
        <v>660</v>
      </c>
      <c r="G327" s="2" t="s">
        <v>7</v>
      </c>
      <c r="H327" s="2" t="s">
        <v>698</v>
      </c>
      <c r="I327" s="10" t="s">
        <v>78</v>
      </c>
      <c r="J327" s="14" t="s">
        <v>692</v>
      </c>
      <c r="K327" s="15" t="s">
        <v>80</v>
      </c>
      <c r="L327" s="14" t="s">
        <v>693</v>
      </c>
      <c r="M327" s="80" t="s">
        <v>660</v>
      </c>
      <c r="N327" s="77" t="s">
        <v>660</v>
      </c>
      <c r="O327" s="77" t="s">
        <v>660</v>
      </c>
      <c r="P327" s="77" t="s">
        <v>660</v>
      </c>
      <c r="Q327" s="77" t="s">
        <v>660</v>
      </c>
      <c r="R327" s="77" t="s">
        <v>660</v>
      </c>
      <c r="S327" s="77" t="s">
        <v>660</v>
      </c>
      <c r="T327" s="77" t="s">
        <v>660</v>
      </c>
      <c r="U327" s="77" t="s">
        <v>660</v>
      </c>
      <c r="V327" s="77" t="s">
        <v>660</v>
      </c>
      <c r="W327" s="77" t="s">
        <v>660</v>
      </c>
      <c r="X327" s="78" t="s">
        <v>660</v>
      </c>
    </row>
    <row r="328" spans="1:24">
      <c r="A328" s="28" t="s">
        <v>689</v>
      </c>
      <c r="B328" s="29" t="s">
        <v>689</v>
      </c>
      <c r="C328" s="2" t="s">
        <v>746</v>
      </c>
      <c r="D328" s="2" t="s">
        <v>710</v>
      </c>
      <c r="E328" s="27" t="s">
        <v>660</v>
      </c>
      <c r="F328" s="13" t="s">
        <v>660</v>
      </c>
      <c r="G328" s="2" t="s">
        <v>7</v>
      </c>
      <c r="H328" s="2" t="s">
        <v>698</v>
      </c>
      <c r="I328" s="10" t="s">
        <v>78</v>
      </c>
      <c r="J328" s="14" t="s">
        <v>692</v>
      </c>
      <c r="K328" s="15" t="s">
        <v>80</v>
      </c>
      <c r="L328" s="14" t="s">
        <v>693</v>
      </c>
      <c r="M328" s="80" t="s">
        <v>660</v>
      </c>
      <c r="N328" s="77" t="s">
        <v>660</v>
      </c>
      <c r="O328" s="77" t="s">
        <v>660</v>
      </c>
      <c r="P328" s="77" t="s">
        <v>660</v>
      </c>
      <c r="Q328" s="77" t="s">
        <v>660</v>
      </c>
      <c r="R328" s="77" t="s">
        <v>660</v>
      </c>
      <c r="S328" s="77" t="s">
        <v>660</v>
      </c>
      <c r="T328" s="77" t="s">
        <v>660</v>
      </c>
      <c r="U328" s="77" t="s">
        <v>660</v>
      </c>
      <c r="V328" s="77" t="s">
        <v>660</v>
      </c>
      <c r="W328" s="77" t="s">
        <v>660</v>
      </c>
      <c r="X328" s="78" t="s">
        <v>660</v>
      </c>
    </row>
    <row r="329" spans="1:24">
      <c r="A329" s="28" t="s">
        <v>689</v>
      </c>
      <c r="B329" s="29" t="s">
        <v>689</v>
      </c>
      <c r="C329" s="2" t="s">
        <v>747</v>
      </c>
      <c r="D329" s="2" t="s">
        <v>16</v>
      </c>
      <c r="E329" s="27" t="s">
        <v>660</v>
      </c>
      <c r="F329" s="13" t="s">
        <v>660</v>
      </c>
      <c r="G329" s="2" t="s">
        <v>7</v>
      </c>
      <c r="H329" s="2" t="s">
        <v>179</v>
      </c>
      <c r="I329" s="10" t="s">
        <v>78</v>
      </c>
      <c r="J329" s="14" t="s">
        <v>692</v>
      </c>
      <c r="K329" s="15" t="s">
        <v>80</v>
      </c>
      <c r="L329" s="14" t="s">
        <v>693</v>
      </c>
      <c r="M329" s="80" t="s">
        <v>660</v>
      </c>
      <c r="N329" s="77" t="s">
        <v>660</v>
      </c>
      <c r="O329" s="77" t="s">
        <v>660</v>
      </c>
      <c r="P329" s="77" t="s">
        <v>660</v>
      </c>
      <c r="Q329" s="77" t="s">
        <v>660</v>
      </c>
      <c r="R329" s="77" t="s">
        <v>660</v>
      </c>
      <c r="S329" s="77" t="s">
        <v>660</v>
      </c>
      <c r="T329" s="77" t="s">
        <v>660</v>
      </c>
      <c r="U329" s="77" t="s">
        <v>660</v>
      </c>
      <c r="V329" s="77" t="s">
        <v>660</v>
      </c>
      <c r="W329" s="77" t="s">
        <v>660</v>
      </c>
      <c r="X329" s="78" t="s">
        <v>660</v>
      </c>
    </row>
    <row r="330" spans="1:24">
      <c r="A330" s="28" t="s">
        <v>689</v>
      </c>
      <c r="B330" s="29" t="s">
        <v>689</v>
      </c>
      <c r="C330" s="2" t="s">
        <v>748</v>
      </c>
      <c r="D330" s="2" t="s">
        <v>712</v>
      </c>
      <c r="E330" s="27" t="s">
        <v>660</v>
      </c>
      <c r="F330" s="13" t="s">
        <v>660</v>
      </c>
      <c r="G330" s="2" t="s">
        <v>7</v>
      </c>
      <c r="H330" s="2" t="s">
        <v>691</v>
      </c>
      <c r="I330" s="10" t="s">
        <v>78</v>
      </c>
      <c r="J330" s="14" t="s">
        <v>692</v>
      </c>
      <c r="K330" s="15" t="s">
        <v>80</v>
      </c>
      <c r="L330" s="14" t="s">
        <v>693</v>
      </c>
      <c r="M330" s="80" t="s">
        <v>660</v>
      </c>
      <c r="N330" s="77" t="s">
        <v>660</v>
      </c>
      <c r="O330" s="77" t="s">
        <v>660</v>
      </c>
      <c r="P330" s="77" t="s">
        <v>660</v>
      </c>
      <c r="Q330" s="77" t="s">
        <v>660</v>
      </c>
      <c r="R330" s="77" t="s">
        <v>660</v>
      </c>
      <c r="S330" s="77" t="s">
        <v>660</v>
      </c>
      <c r="T330" s="77" t="s">
        <v>660</v>
      </c>
      <c r="U330" s="77" t="s">
        <v>660</v>
      </c>
      <c r="V330" s="77" t="s">
        <v>660</v>
      </c>
      <c r="W330" s="77" t="s">
        <v>660</v>
      </c>
      <c r="X330" s="78" t="s">
        <v>660</v>
      </c>
    </row>
    <row r="331" spans="1:24">
      <c r="A331" s="28" t="s">
        <v>689</v>
      </c>
      <c r="B331" s="29" t="s">
        <v>689</v>
      </c>
      <c r="C331" s="2" t="s">
        <v>749</v>
      </c>
      <c r="D331" s="2" t="s">
        <v>18</v>
      </c>
      <c r="E331" s="27" t="s">
        <v>660</v>
      </c>
      <c r="F331" s="13" t="s">
        <v>660</v>
      </c>
      <c r="G331" s="2" t="s">
        <v>7</v>
      </c>
      <c r="H331" s="2">
        <v>46</v>
      </c>
      <c r="I331" s="10" t="s">
        <v>78</v>
      </c>
      <c r="J331" s="14" t="s">
        <v>692</v>
      </c>
      <c r="K331" s="15" t="s">
        <v>80</v>
      </c>
      <c r="L331" s="14" t="s">
        <v>693</v>
      </c>
      <c r="M331" s="80" t="s">
        <v>660</v>
      </c>
      <c r="N331" s="77" t="s">
        <v>660</v>
      </c>
      <c r="O331" s="77" t="s">
        <v>660</v>
      </c>
      <c r="P331" s="77" t="s">
        <v>660</v>
      </c>
      <c r="Q331" s="77" t="s">
        <v>660</v>
      </c>
      <c r="R331" s="77" t="s">
        <v>660</v>
      </c>
      <c r="S331" s="77" t="s">
        <v>660</v>
      </c>
      <c r="T331" s="77" t="s">
        <v>660</v>
      </c>
      <c r="U331" s="77" t="s">
        <v>660</v>
      </c>
      <c r="V331" s="77" t="s">
        <v>660</v>
      </c>
      <c r="W331" s="77" t="s">
        <v>660</v>
      </c>
      <c r="X331" s="78" t="s">
        <v>660</v>
      </c>
    </row>
    <row r="332" spans="1:24">
      <c r="A332" s="28" t="s">
        <v>689</v>
      </c>
      <c r="B332" s="29" t="s">
        <v>689</v>
      </c>
      <c r="C332" s="2" t="s">
        <v>750</v>
      </c>
      <c r="D332" s="2" t="s">
        <v>710</v>
      </c>
      <c r="E332" s="27" t="s">
        <v>660</v>
      </c>
      <c r="F332" s="13" t="s">
        <v>660</v>
      </c>
      <c r="G332" s="2" t="s">
        <v>8</v>
      </c>
      <c r="H332" s="2">
        <v>46</v>
      </c>
      <c r="I332" s="10" t="s">
        <v>78</v>
      </c>
      <c r="J332" s="14" t="s">
        <v>692</v>
      </c>
      <c r="K332" s="15" t="s">
        <v>80</v>
      </c>
      <c r="L332" s="14" t="s">
        <v>693</v>
      </c>
      <c r="M332" s="80" t="s">
        <v>660</v>
      </c>
      <c r="N332" s="77" t="s">
        <v>660</v>
      </c>
      <c r="O332" s="77" t="s">
        <v>660</v>
      </c>
      <c r="P332" s="77" t="s">
        <v>660</v>
      </c>
      <c r="Q332" s="77" t="s">
        <v>660</v>
      </c>
      <c r="R332" s="77" t="s">
        <v>660</v>
      </c>
      <c r="S332" s="77" t="s">
        <v>660</v>
      </c>
      <c r="T332" s="77" t="s">
        <v>660</v>
      </c>
      <c r="U332" s="77" t="s">
        <v>660</v>
      </c>
      <c r="V332" s="77" t="s">
        <v>660</v>
      </c>
      <c r="W332" s="77" t="s">
        <v>660</v>
      </c>
      <c r="X332" s="78" t="s">
        <v>660</v>
      </c>
    </row>
    <row r="333" spans="1:24">
      <c r="A333" s="28" t="s">
        <v>689</v>
      </c>
      <c r="B333" s="29" t="s">
        <v>689</v>
      </c>
      <c r="C333" s="2" t="s">
        <v>751</v>
      </c>
      <c r="D333" s="2" t="s">
        <v>23</v>
      </c>
      <c r="E333" s="27" t="s">
        <v>660</v>
      </c>
      <c r="F333" s="13" t="s">
        <v>660</v>
      </c>
      <c r="G333" s="2" t="s">
        <v>8</v>
      </c>
      <c r="H333" s="2" t="s">
        <v>691</v>
      </c>
      <c r="I333" s="10" t="s">
        <v>78</v>
      </c>
      <c r="J333" s="14" t="s">
        <v>692</v>
      </c>
      <c r="K333" s="15" t="s">
        <v>80</v>
      </c>
      <c r="L333" s="14" t="s">
        <v>693</v>
      </c>
      <c r="M333" s="80" t="s">
        <v>660</v>
      </c>
      <c r="N333" s="77" t="s">
        <v>660</v>
      </c>
      <c r="O333" s="77" t="s">
        <v>660</v>
      </c>
      <c r="P333" s="77" t="s">
        <v>660</v>
      </c>
      <c r="Q333" s="77" t="s">
        <v>660</v>
      </c>
      <c r="R333" s="77" t="s">
        <v>660</v>
      </c>
      <c r="S333" s="77" t="s">
        <v>660</v>
      </c>
      <c r="T333" s="77" t="s">
        <v>660</v>
      </c>
      <c r="U333" s="77" t="s">
        <v>660</v>
      </c>
      <c r="V333" s="77" t="s">
        <v>660</v>
      </c>
      <c r="W333" s="77" t="s">
        <v>660</v>
      </c>
      <c r="X333" s="78" t="s">
        <v>660</v>
      </c>
    </row>
    <row r="334" spans="1:24">
      <c r="A334" s="28" t="s">
        <v>689</v>
      </c>
      <c r="B334" s="29" t="s">
        <v>689</v>
      </c>
      <c r="C334" s="2" t="s">
        <v>752</v>
      </c>
      <c r="D334" s="2" t="s">
        <v>16</v>
      </c>
      <c r="E334" s="27" t="s">
        <v>660</v>
      </c>
      <c r="F334" s="13" t="s">
        <v>660</v>
      </c>
      <c r="G334" s="2" t="s">
        <v>8</v>
      </c>
      <c r="H334" s="2" t="s">
        <v>698</v>
      </c>
      <c r="I334" s="10" t="s">
        <v>78</v>
      </c>
      <c r="J334" s="14" t="s">
        <v>692</v>
      </c>
      <c r="K334" s="15" t="s">
        <v>80</v>
      </c>
      <c r="L334" s="14" t="s">
        <v>693</v>
      </c>
      <c r="M334" s="80" t="s">
        <v>660</v>
      </c>
      <c r="N334" s="77" t="s">
        <v>660</v>
      </c>
      <c r="O334" s="77" t="s">
        <v>660</v>
      </c>
      <c r="P334" s="77" t="s">
        <v>660</v>
      </c>
      <c r="Q334" s="77" t="s">
        <v>660</v>
      </c>
      <c r="R334" s="77" t="s">
        <v>660</v>
      </c>
      <c r="S334" s="77" t="s">
        <v>660</v>
      </c>
      <c r="T334" s="77" t="s">
        <v>660</v>
      </c>
      <c r="U334" s="77" t="s">
        <v>660</v>
      </c>
      <c r="V334" s="77" t="s">
        <v>660</v>
      </c>
      <c r="W334" s="77" t="s">
        <v>660</v>
      </c>
      <c r="X334" s="78" t="s">
        <v>660</v>
      </c>
    </row>
    <row r="335" spans="1:24">
      <c r="A335" s="28" t="s">
        <v>689</v>
      </c>
      <c r="B335" s="29" t="s">
        <v>689</v>
      </c>
      <c r="C335" s="2" t="s">
        <v>753</v>
      </c>
      <c r="D335" s="2" t="s">
        <v>23</v>
      </c>
      <c r="E335" s="27" t="s">
        <v>660</v>
      </c>
      <c r="F335" s="13" t="s">
        <v>660</v>
      </c>
      <c r="G335" s="2" t="s">
        <v>7</v>
      </c>
      <c r="H335" s="2" t="s">
        <v>691</v>
      </c>
      <c r="I335" s="10" t="s">
        <v>78</v>
      </c>
      <c r="J335" s="14" t="s">
        <v>692</v>
      </c>
      <c r="K335" s="15" t="s">
        <v>80</v>
      </c>
      <c r="L335" s="14" t="s">
        <v>693</v>
      </c>
      <c r="M335" s="80" t="s">
        <v>660</v>
      </c>
      <c r="N335" s="77" t="s">
        <v>660</v>
      </c>
      <c r="O335" s="77" t="s">
        <v>660</v>
      </c>
      <c r="P335" s="77" t="s">
        <v>660</v>
      </c>
      <c r="Q335" s="77" t="s">
        <v>660</v>
      </c>
      <c r="R335" s="77" t="s">
        <v>660</v>
      </c>
      <c r="S335" s="77" t="s">
        <v>660</v>
      </c>
      <c r="T335" s="77" t="s">
        <v>660</v>
      </c>
      <c r="U335" s="77" t="s">
        <v>660</v>
      </c>
      <c r="V335" s="77" t="s">
        <v>660</v>
      </c>
      <c r="W335" s="77" t="s">
        <v>660</v>
      </c>
      <c r="X335" s="78" t="s">
        <v>660</v>
      </c>
    </row>
    <row r="336" spans="1:24">
      <c r="A336" s="28" t="s">
        <v>689</v>
      </c>
      <c r="B336" s="29" t="s">
        <v>689</v>
      </c>
      <c r="C336" s="2" t="s">
        <v>754</v>
      </c>
      <c r="D336" s="2" t="s">
        <v>16</v>
      </c>
      <c r="E336" s="27" t="s">
        <v>660</v>
      </c>
      <c r="F336" s="13" t="s">
        <v>660</v>
      </c>
      <c r="G336" s="2" t="s">
        <v>8</v>
      </c>
      <c r="H336" s="2" t="s">
        <v>695</v>
      </c>
      <c r="I336" s="10" t="s">
        <v>78</v>
      </c>
      <c r="J336" s="14" t="s">
        <v>692</v>
      </c>
      <c r="K336" s="15" t="s">
        <v>80</v>
      </c>
      <c r="L336" s="14" t="s">
        <v>693</v>
      </c>
      <c r="M336" s="80" t="s">
        <v>660</v>
      </c>
      <c r="N336" s="77" t="s">
        <v>660</v>
      </c>
      <c r="O336" s="77" t="s">
        <v>660</v>
      </c>
      <c r="P336" s="77" t="s">
        <v>660</v>
      </c>
      <c r="Q336" s="77" t="s">
        <v>660</v>
      </c>
      <c r="R336" s="77" t="s">
        <v>660</v>
      </c>
      <c r="S336" s="77" t="s">
        <v>660</v>
      </c>
      <c r="T336" s="77" t="s">
        <v>660</v>
      </c>
      <c r="U336" s="77" t="s">
        <v>660</v>
      </c>
      <c r="V336" s="77" t="s">
        <v>660</v>
      </c>
      <c r="W336" s="77" t="s">
        <v>660</v>
      </c>
      <c r="X336" s="78" t="s">
        <v>660</v>
      </c>
    </row>
    <row r="337" spans="1:24">
      <c r="A337" s="28" t="s">
        <v>689</v>
      </c>
      <c r="B337" s="29" t="s">
        <v>689</v>
      </c>
      <c r="C337" s="2" t="s">
        <v>755</v>
      </c>
      <c r="D337" s="2" t="s">
        <v>23</v>
      </c>
      <c r="E337" s="27" t="s">
        <v>660</v>
      </c>
      <c r="F337" s="13" t="s">
        <v>660</v>
      </c>
      <c r="G337" s="2" t="s">
        <v>8</v>
      </c>
      <c r="H337" s="2" t="s">
        <v>691</v>
      </c>
      <c r="I337" s="10" t="s">
        <v>78</v>
      </c>
      <c r="J337" s="14" t="s">
        <v>692</v>
      </c>
      <c r="K337" s="15" t="s">
        <v>80</v>
      </c>
      <c r="L337" s="14" t="s">
        <v>693</v>
      </c>
      <c r="M337" s="80" t="s">
        <v>660</v>
      </c>
      <c r="N337" s="77" t="s">
        <v>660</v>
      </c>
      <c r="O337" s="77" t="s">
        <v>660</v>
      </c>
      <c r="P337" s="77" t="s">
        <v>660</v>
      </c>
      <c r="Q337" s="77" t="s">
        <v>660</v>
      </c>
      <c r="R337" s="77" t="s">
        <v>660</v>
      </c>
      <c r="S337" s="77" t="s">
        <v>660</v>
      </c>
      <c r="T337" s="77" t="s">
        <v>660</v>
      </c>
      <c r="U337" s="77" t="s">
        <v>660</v>
      </c>
      <c r="V337" s="77" t="s">
        <v>660</v>
      </c>
      <c r="W337" s="77" t="s">
        <v>660</v>
      </c>
      <c r="X337" s="78" t="s">
        <v>660</v>
      </c>
    </row>
    <row r="338" spans="1:24">
      <c r="A338" s="28" t="s">
        <v>689</v>
      </c>
      <c r="B338" s="29" t="s">
        <v>689</v>
      </c>
      <c r="C338" s="2" t="s">
        <v>756</v>
      </c>
      <c r="D338" s="2" t="s">
        <v>710</v>
      </c>
      <c r="E338" s="27" t="s">
        <v>660</v>
      </c>
      <c r="F338" s="13" t="s">
        <v>660</v>
      </c>
      <c r="G338" s="2" t="s">
        <v>8</v>
      </c>
      <c r="H338" s="2" t="s">
        <v>698</v>
      </c>
      <c r="I338" s="10" t="s">
        <v>78</v>
      </c>
      <c r="J338" s="14" t="s">
        <v>692</v>
      </c>
      <c r="K338" s="15" t="s">
        <v>80</v>
      </c>
      <c r="L338" s="14" t="s">
        <v>693</v>
      </c>
      <c r="M338" s="80" t="s">
        <v>660</v>
      </c>
      <c r="N338" s="77" t="s">
        <v>660</v>
      </c>
      <c r="O338" s="77" t="s">
        <v>660</v>
      </c>
      <c r="P338" s="77" t="s">
        <v>660</v>
      </c>
      <c r="Q338" s="77" t="s">
        <v>660</v>
      </c>
      <c r="R338" s="77" t="s">
        <v>660</v>
      </c>
      <c r="S338" s="77" t="s">
        <v>660</v>
      </c>
      <c r="T338" s="77" t="s">
        <v>660</v>
      </c>
      <c r="U338" s="77" t="s">
        <v>660</v>
      </c>
      <c r="V338" s="77" t="s">
        <v>660</v>
      </c>
      <c r="W338" s="77" t="s">
        <v>660</v>
      </c>
      <c r="X338" s="78" t="s">
        <v>660</v>
      </c>
    </row>
    <row r="339" spans="1:24">
      <c r="A339" s="28" t="s">
        <v>689</v>
      </c>
      <c r="B339" s="29" t="s">
        <v>689</v>
      </c>
      <c r="C339" s="2" t="s">
        <v>757</v>
      </c>
      <c r="D339" s="2" t="s">
        <v>23</v>
      </c>
      <c r="E339" s="27" t="s">
        <v>660</v>
      </c>
      <c r="F339" s="13" t="s">
        <v>660</v>
      </c>
      <c r="G339" s="2" t="s">
        <v>8</v>
      </c>
      <c r="H339" s="2" t="s">
        <v>695</v>
      </c>
      <c r="I339" s="10" t="s">
        <v>78</v>
      </c>
      <c r="J339" s="14" t="s">
        <v>692</v>
      </c>
      <c r="K339" s="15" t="s">
        <v>80</v>
      </c>
      <c r="L339" s="14" t="s">
        <v>693</v>
      </c>
      <c r="M339" s="80" t="s">
        <v>660</v>
      </c>
      <c r="N339" s="77" t="s">
        <v>660</v>
      </c>
      <c r="O339" s="77" t="s">
        <v>660</v>
      </c>
      <c r="P339" s="77" t="s">
        <v>660</v>
      </c>
      <c r="Q339" s="77" t="s">
        <v>660</v>
      </c>
      <c r="R339" s="77" t="s">
        <v>660</v>
      </c>
      <c r="S339" s="77" t="s">
        <v>660</v>
      </c>
      <c r="T339" s="77" t="s">
        <v>660</v>
      </c>
      <c r="U339" s="77" t="s">
        <v>660</v>
      </c>
      <c r="V339" s="77" t="s">
        <v>660</v>
      </c>
      <c r="W339" s="77" t="s">
        <v>660</v>
      </c>
      <c r="X339" s="78" t="s">
        <v>660</v>
      </c>
    </row>
    <row r="340" spans="1:24">
      <c r="A340" s="28" t="s">
        <v>689</v>
      </c>
      <c r="B340" s="29" t="s">
        <v>689</v>
      </c>
      <c r="C340" s="2" t="s">
        <v>758</v>
      </c>
      <c r="D340" s="2" t="s">
        <v>23</v>
      </c>
      <c r="E340" s="27" t="s">
        <v>660</v>
      </c>
      <c r="F340" s="13" t="s">
        <v>660</v>
      </c>
      <c r="G340" s="2" t="s">
        <v>7</v>
      </c>
      <c r="H340" s="2" t="s">
        <v>179</v>
      </c>
      <c r="I340" s="10" t="s">
        <v>78</v>
      </c>
      <c r="J340" s="14" t="s">
        <v>692</v>
      </c>
      <c r="K340" s="15" t="s">
        <v>80</v>
      </c>
      <c r="L340" s="14" t="s">
        <v>693</v>
      </c>
      <c r="M340" s="80" t="s">
        <v>660</v>
      </c>
      <c r="N340" s="77" t="s">
        <v>660</v>
      </c>
      <c r="O340" s="77" t="s">
        <v>660</v>
      </c>
      <c r="P340" s="77" t="s">
        <v>660</v>
      </c>
      <c r="Q340" s="77" t="s">
        <v>660</v>
      </c>
      <c r="R340" s="77" t="s">
        <v>660</v>
      </c>
      <c r="S340" s="77" t="s">
        <v>660</v>
      </c>
      <c r="T340" s="77" t="s">
        <v>660</v>
      </c>
      <c r="U340" s="77" t="s">
        <v>660</v>
      </c>
      <c r="V340" s="77" t="s">
        <v>660</v>
      </c>
      <c r="W340" s="77" t="s">
        <v>660</v>
      </c>
      <c r="X340" s="78" t="s">
        <v>660</v>
      </c>
    </row>
    <row r="341" spans="1:24">
      <c r="A341" s="28" t="s">
        <v>689</v>
      </c>
      <c r="B341" s="29" t="s">
        <v>689</v>
      </c>
      <c r="C341" s="2" t="s">
        <v>759</v>
      </c>
      <c r="D341" s="2" t="s">
        <v>16</v>
      </c>
      <c r="E341" s="27" t="s">
        <v>660</v>
      </c>
      <c r="F341" s="13" t="s">
        <v>660</v>
      </c>
      <c r="G341" s="2" t="s">
        <v>7</v>
      </c>
      <c r="H341" s="2" t="s">
        <v>698</v>
      </c>
      <c r="I341" s="10" t="s">
        <v>78</v>
      </c>
      <c r="J341" s="14" t="s">
        <v>692</v>
      </c>
      <c r="K341" s="15" t="s">
        <v>80</v>
      </c>
      <c r="L341" s="14" t="s">
        <v>693</v>
      </c>
      <c r="M341" s="80" t="s">
        <v>660</v>
      </c>
      <c r="N341" s="77" t="s">
        <v>660</v>
      </c>
      <c r="O341" s="77" t="s">
        <v>660</v>
      </c>
      <c r="P341" s="77" t="s">
        <v>660</v>
      </c>
      <c r="Q341" s="77" t="s">
        <v>660</v>
      </c>
      <c r="R341" s="77" t="s">
        <v>660</v>
      </c>
      <c r="S341" s="77" t="s">
        <v>660</v>
      </c>
      <c r="T341" s="77" t="s">
        <v>660</v>
      </c>
      <c r="U341" s="77" t="s">
        <v>660</v>
      </c>
      <c r="V341" s="77" t="s">
        <v>660</v>
      </c>
      <c r="W341" s="77" t="s">
        <v>660</v>
      </c>
      <c r="X341" s="78" t="s">
        <v>660</v>
      </c>
    </row>
    <row r="342" spans="1:24">
      <c r="A342" s="28" t="s">
        <v>689</v>
      </c>
      <c r="B342" s="29" t="s">
        <v>689</v>
      </c>
      <c r="C342" s="2" t="s">
        <v>760</v>
      </c>
      <c r="D342" s="2" t="s">
        <v>23</v>
      </c>
      <c r="E342" s="27" t="s">
        <v>660</v>
      </c>
      <c r="F342" s="13" t="s">
        <v>660</v>
      </c>
      <c r="G342" s="2" t="s">
        <v>8</v>
      </c>
      <c r="H342" s="2" t="s">
        <v>691</v>
      </c>
      <c r="I342" s="10" t="s">
        <v>78</v>
      </c>
      <c r="J342" s="14" t="s">
        <v>692</v>
      </c>
      <c r="K342" s="15" t="s">
        <v>80</v>
      </c>
      <c r="L342" s="14" t="s">
        <v>693</v>
      </c>
      <c r="M342" s="80" t="s">
        <v>660</v>
      </c>
      <c r="N342" s="77" t="s">
        <v>660</v>
      </c>
      <c r="O342" s="77" t="s">
        <v>660</v>
      </c>
      <c r="P342" s="77" t="s">
        <v>660</v>
      </c>
      <c r="Q342" s="77" t="s">
        <v>660</v>
      </c>
      <c r="R342" s="77" t="s">
        <v>660</v>
      </c>
      <c r="S342" s="77" t="s">
        <v>660</v>
      </c>
      <c r="T342" s="77" t="s">
        <v>660</v>
      </c>
      <c r="U342" s="77" t="s">
        <v>660</v>
      </c>
      <c r="V342" s="77" t="s">
        <v>660</v>
      </c>
      <c r="W342" s="77" t="s">
        <v>660</v>
      </c>
      <c r="X342" s="78" t="s">
        <v>660</v>
      </c>
    </row>
    <row r="343" spans="1:24">
      <c r="A343" s="28" t="s">
        <v>689</v>
      </c>
      <c r="B343" s="29" t="s">
        <v>689</v>
      </c>
      <c r="C343" s="2" t="s">
        <v>761</v>
      </c>
      <c r="D343" s="2" t="s">
        <v>712</v>
      </c>
      <c r="E343" s="27" t="s">
        <v>660</v>
      </c>
      <c r="F343" s="13" t="s">
        <v>660</v>
      </c>
      <c r="G343" s="2" t="s">
        <v>8</v>
      </c>
      <c r="H343" s="2" t="s">
        <v>698</v>
      </c>
      <c r="I343" s="10" t="s">
        <v>78</v>
      </c>
      <c r="J343" s="14" t="s">
        <v>692</v>
      </c>
      <c r="K343" s="15" t="s">
        <v>80</v>
      </c>
      <c r="L343" s="14" t="s">
        <v>693</v>
      </c>
      <c r="M343" s="80" t="s">
        <v>660</v>
      </c>
      <c r="N343" s="77" t="s">
        <v>660</v>
      </c>
      <c r="O343" s="77" t="s">
        <v>660</v>
      </c>
      <c r="P343" s="77" t="s">
        <v>660</v>
      </c>
      <c r="Q343" s="77" t="s">
        <v>660</v>
      </c>
      <c r="R343" s="77" t="s">
        <v>660</v>
      </c>
      <c r="S343" s="77" t="s">
        <v>660</v>
      </c>
      <c r="T343" s="77" t="s">
        <v>660</v>
      </c>
      <c r="U343" s="77" t="s">
        <v>660</v>
      </c>
      <c r="V343" s="77" t="s">
        <v>660</v>
      </c>
      <c r="W343" s="77" t="s">
        <v>660</v>
      </c>
      <c r="X343" s="78" t="s">
        <v>660</v>
      </c>
    </row>
    <row r="344" spans="1:24">
      <c r="A344" s="28" t="s">
        <v>689</v>
      </c>
      <c r="B344" s="29" t="s">
        <v>689</v>
      </c>
      <c r="C344" s="2" t="s">
        <v>762</v>
      </c>
      <c r="D344" s="2" t="s">
        <v>15</v>
      </c>
      <c r="E344" s="27" t="s">
        <v>660</v>
      </c>
      <c r="F344" s="13" t="s">
        <v>660</v>
      </c>
      <c r="G344" s="2" t="s">
        <v>8</v>
      </c>
      <c r="H344" s="2" t="s">
        <v>691</v>
      </c>
      <c r="I344" s="10" t="s">
        <v>78</v>
      </c>
      <c r="J344" s="14" t="s">
        <v>692</v>
      </c>
      <c r="K344" s="15" t="s">
        <v>80</v>
      </c>
      <c r="L344" s="14" t="s">
        <v>693</v>
      </c>
      <c r="M344" s="80" t="s">
        <v>660</v>
      </c>
      <c r="N344" s="77" t="s">
        <v>660</v>
      </c>
      <c r="O344" s="77" t="s">
        <v>660</v>
      </c>
      <c r="P344" s="77" t="s">
        <v>660</v>
      </c>
      <c r="Q344" s="77" t="s">
        <v>660</v>
      </c>
      <c r="R344" s="77" t="s">
        <v>660</v>
      </c>
      <c r="S344" s="77" t="s">
        <v>660</v>
      </c>
      <c r="T344" s="77" t="s">
        <v>660</v>
      </c>
      <c r="U344" s="77" t="s">
        <v>660</v>
      </c>
      <c r="V344" s="77" t="s">
        <v>660</v>
      </c>
      <c r="W344" s="77" t="s">
        <v>660</v>
      </c>
      <c r="X344" s="78" t="s">
        <v>660</v>
      </c>
    </row>
    <row r="345" spans="1:24">
      <c r="A345" s="28" t="s">
        <v>689</v>
      </c>
      <c r="B345" s="29" t="s">
        <v>689</v>
      </c>
      <c r="C345" s="2" t="s">
        <v>763</v>
      </c>
      <c r="D345" s="2" t="s">
        <v>16</v>
      </c>
      <c r="E345" s="27" t="s">
        <v>660</v>
      </c>
      <c r="F345" s="13" t="s">
        <v>660</v>
      </c>
      <c r="G345" s="2" t="s">
        <v>8</v>
      </c>
      <c r="H345" s="2" t="s">
        <v>698</v>
      </c>
      <c r="I345" s="10" t="s">
        <v>78</v>
      </c>
      <c r="J345" s="14" t="s">
        <v>692</v>
      </c>
      <c r="K345" s="15" t="s">
        <v>80</v>
      </c>
      <c r="L345" s="14" t="s">
        <v>693</v>
      </c>
      <c r="M345" s="80" t="s">
        <v>660</v>
      </c>
      <c r="N345" s="77" t="s">
        <v>660</v>
      </c>
      <c r="O345" s="77" t="s">
        <v>660</v>
      </c>
      <c r="P345" s="77" t="s">
        <v>660</v>
      </c>
      <c r="Q345" s="77" t="s">
        <v>660</v>
      </c>
      <c r="R345" s="77" t="s">
        <v>660</v>
      </c>
      <c r="S345" s="77" t="s">
        <v>660</v>
      </c>
      <c r="T345" s="77" t="s">
        <v>660</v>
      </c>
      <c r="U345" s="77" t="s">
        <v>660</v>
      </c>
      <c r="V345" s="77" t="s">
        <v>660</v>
      </c>
      <c r="W345" s="77" t="s">
        <v>660</v>
      </c>
      <c r="X345" s="78" t="s">
        <v>660</v>
      </c>
    </row>
    <row r="346" spans="1:24">
      <c r="A346" s="28" t="s">
        <v>689</v>
      </c>
      <c r="B346" s="29" t="s">
        <v>689</v>
      </c>
      <c r="C346" s="2" t="s">
        <v>764</v>
      </c>
      <c r="D346" s="2" t="s">
        <v>25</v>
      </c>
      <c r="E346" s="27" t="s">
        <v>660</v>
      </c>
      <c r="F346" s="13" t="s">
        <v>660</v>
      </c>
      <c r="G346" s="2" t="s">
        <v>8</v>
      </c>
      <c r="H346" s="2" t="s">
        <v>695</v>
      </c>
      <c r="I346" s="10" t="s">
        <v>78</v>
      </c>
      <c r="J346" s="14" t="s">
        <v>692</v>
      </c>
      <c r="K346" s="15" t="s">
        <v>80</v>
      </c>
      <c r="L346" s="14" t="s">
        <v>693</v>
      </c>
      <c r="M346" s="80" t="s">
        <v>660</v>
      </c>
      <c r="N346" s="77" t="s">
        <v>660</v>
      </c>
      <c r="O346" s="77" t="s">
        <v>660</v>
      </c>
      <c r="P346" s="77" t="s">
        <v>660</v>
      </c>
      <c r="Q346" s="77" t="s">
        <v>660</v>
      </c>
      <c r="R346" s="77" t="s">
        <v>660</v>
      </c>
      <c r="S346" s="77" t="s">
        <v>660</v>
      </c>
      <c r="T346" s="77" t="s">
        <v>660</v>
      </c>
      <c r="U346" s="77" t="s">
        <v>660</v>
      </c>
      <c r="V346" s="77" t="s">
        <v>660</v>
      </c>
      <c r="W346" s="77" t="s">
        <v>660</v>
      </c>
      <c r="X346" s="78" t="s">
        <v>660</v>
      </c>
    </row>
    <row r="347" spans="1:24">
      <c r="A347" s="28" t="s">
        <v>689</v>
      </c>
      <c r="B347" s="29" t="s">
        <v>689</v>
      </c>
      <c r="C347" s="2" t="s">
        <v>765</v>
      </c>
      <c r="D347" s="2" t="s">
        <v>18</v>
      </c>
      <c r="E347" s="27" t="s">
        <v>660</v>
      </c>
      <c r="F347" s="13" t="s">
        <v>660</v>
      </c>
      <c r="G347" s="2" t="s">
        <v>8</v>
      </c>
      <c r="H347" s="2" t="s">
        <v>179</v>
      </c>
      <c r="I347" s="10" t="s">
        <v>78</v>
      </c>
      <c r="J347" s="14" t="s">
        <v>692</v>
      </c>
      <c r="K347" s="15" t="s">
        <v>80</v>
      </c>
      <c r="L347" s="14" t="s">
        <v>693</v>
      </c>
      <c r="M347" s="80" t="s">
        <v>660</v>
      </c>
      <c r="N347" s="77" t="s">
        <v>660</v>
      </c>
      <c r="O347" s="77" t="s">
        <v>660</v>
      </c>
      <c r="P347" s="77" t="s">
        <v>660</v>
      </c>
      <c r="Q347" s="77" t="s">
        <v>660</v>
      </c>
      <c r="R347" s="77" t="s">
        <v>660</v>
      </c>
      <c r="S347" s="77" t="s">
        <v>660</v>
      </c>
      <c r="T347" s="77" t="s">
        <v>660</v>
      </c>
      <c r="U347" s="77" t="s">
        <v>660</v>
      </c>
      <c r="V347" s="77" t="s">
        <v>660</v>
      </c>
      <c r="W347" s="77" t="s">
        <v>660</v>
      </c>
      <c r="X347" s="78" t="s">
        <v>660</v>
      </c>
    </row>
    <row r="348" spans="1:24">
      <c r="A348" s="28" t="s">
        <v>689</v>
      </c>
      <c r="B348" s="29" t="s">
        <v>689</v>
      </c>
      <c r="C348" s="2" t="s">
        <v>766</v>
      </c>
      <c r="D348" s="2" t="s">
        <v>15</v>
      </c>
      <c r="E348" s="27" t="s">
        <v>660</v>
      </c>
      <c r="F348" s="13" t="s">
        <v>660</v>
      </c>
      <c r="G348" s="2" t="s">
        <v>8</v>
      </c>
      <c r="H348" s="2" t="s">
        <v>698</v>
      </c>
      <c r="I348" s="10" t="s">
        <v>78</v>
      </c>
      <c r="J348" s="14" t="s">
        <v>692</v>
      </c>
      <c r="K348" s="15" t="s">
        <v>80</v>
      </c>
      <c r="L348" s="14" t="s">
        <v>693</v>
      </c>
      <c r="M348" s="80" t="s">
        <v>660</v>
      </c>
      <c r="N348" s="77" t="s">
        <v>660</v>
      </c>
      <c r="O348" s="77" t="s">
        <v>660</v>
      </c>
      <c r="P348" s="77" t="s">
        <v>660</v>
      </c>
      <c r="Q348" s="77" t="s">
        <v>660</v>
      </c>
      <c r="R348" s="77" t="s">
        <v>660</v>
      </c>
      <c r="S348" s="77" t="s">
        <v>660</v>
      </c>
      <c r="T348" s="77" t="s">
        <v>660</v>
      </c>
      <c r="U348" s="77" t="s">
        <v>660</v>
      </c>
      <c r="V348" s="77" t="s">
        <v>660</v>
      </c>
      <c r="W348" s="77" t="s">
        <v>660</v>
      </c>
      <c r="X348" s="78" t="s">
        <v>660</v>
      </c>
    </row>
    <row r="349" spans="1:24">
      <c r="A349" s="28" t="s">
        <v>689</v>
      </c>
      <c r="B349" s="29" t="s">
        <v>689</v>
      </c>
      <c r="C349" s="2" t="s">
        <v>767</v>
      </c>
      <c r="D349" s="2" t="s">
        <v>15</v>
      </c>
      <c r="E349" s="27" t="s">
        <v>660</v>
      </c>
      <c r="F349" s="13" t="s">
        <v>660</v>
      </c>
      <c r="G349" s="2" t="s">
        <v>7</v>
      </c>
      <c r="H349" s="2">
        <v>46</v>
      </c>
      <c r="I349" s="10" t="s">
        <v>78</v>
      </c>
      <c r="J349" s="14" t="s">
        <v>692</v>
      </c>
      <c r="K349" s="15" t="s">
        <v>80</v>
      </c>
      <c r="L349" s="14" t="s">
        <v>693</v>
      </c>
      <c r="M349" s="80" t="s">
        <v>660</v>
      </c>
      <c r="N349" s="77" t="s">
        <v>660</v>
      </c>
      <c r="O349" s="77" t="s">
        <v>660</v>
      </c>
      <c r="P349" s="77" t="s">
        <v>660</v>
      </c>
      <c r="Q349" s="77" t="s">
        <v>660</v>
      </c>
      <c r="R349" s="77" t="s">
        <v>660</v>
      </c>
      <c r="S349" s="77" t="s">
        <v>660</v>
      </c>
      <c r="T349" s="77" t="s">
        <v>660</v>
      </c>
      <c r="U349" s="77" t="s">
        <v>660</v>
      </c>
      <c r="V349" s="77" t="s">
        <v>660</v>
      </c>
      <c r="W349" s="77" t="s">
        <v>660</v>
      </c>
      <c r="X349" s="78" t="s">
        <v>660</v>
      </c>
    </row>
    <row r="350" spans="1:24">
      <c r="A350" s="28" t="s">
        <v>689</v>
      </c>
      <c r="B350" s="29" t="s">
        <v>689</v>
      </c>
      <c r="C350" s="2" t="s">
        <v>768</v>
      </c>
      <c r="D350" s="2" t="s">
        <v>18</v>
      </c>
      <c r="E350" s="27" t="s">
        <v>660</v>
      </c>
      <c r="F350" s="13" t="s">
        <v>660</v>
      </c>
      <c r="G350" s="2" t="s">
        <v>7</v>
      </c>
      <c r="H350" s="2" t="s">
        <v>695</v>
      </c>
      <c r="I350" s="10" t="s">
        <v>78</v>
      </c>
      <c r="J350" s="14" t="s">
        <v>692</v>
      </c>
      <c r="K350" s="15" t="s">
        <v>80</v>
      </c>
      <c r="L350" s="14" t="s">
        <v>693</v>
      </c>
      <c r="M350" s="80" t="s">
        <v>660</v>
      </c>
      <c r="N350" s="77" t="s">
        <v>660</v>
      </c>
      <c r="O350" s="77" t="s">
        <v>660</v>
      </c>
      <c r="P350" s="77" t="s">
        <v>660</v>
      </c>
      <c r="Q350" s="77" t="s">
        <v>660</v>
      </c>
      <c r="R350" s="77" t="s">
        <v>660</v>
      </c>
      <c r="S350" s="77" t="s">
        <v>660</v>
      </c>
      <c r="T350" s="77" t="s">
        <v>660</v>
      </c>
      <c r="U350" s="77" t="s">
        <v>660</v>
      </c>
      <c r="V350" s="77" t="s">
        <v>660</v>
      </c>
      <c r="W350" s="77" t="s">
        <v>660</v>
      </c>
      <c r="X350" s="78" t="s">
        <v>660</v>
      </c>
    </row>
    <row r="351" spans="1:24">
      <c r="A351" s="28" t="s">
        <v>689</v>
      </c>
      <c r="B351" s="29" t="s">
        <v>689</v>
      </c>
      <c r="C351" s="2" t="s">
        <v>769</v>
      </c>
      <c r="D351" s="2" t="s">
        <v>770</v>
      </c>
      <c r="E351" s="27" t="s">
        <v>660</v>
      </c>
      <c r="F351" s="13" t="s">
        <v>660</v>
      </c>
      <c r="G351" s="2" t="s">
        <v>7</v>
      </c>
      <c r="H351" s="2" t="s">
        <v>695</v>
      </c>
      <c r="I351" s="10" t="s">
        <v>78</v>
      </c>
      <c r="J351" s="14" t="s">
        <v>692</v>
      </c>
      <c r="K351" s="15" t="s">
        <v>80</v>
      </c>
      <c r="L351" s="14" t="s">
        <v>693</v>
      </c>
      <c r="M351" s="80" t="s">
        <v>660</v>
      </c>
      <c r="N351" s="77" t="s">
        <v>660</v>
      </c>
      <c r="O351" s="77" t="s">
        <v>660</v>
      </c>
      <c r="P351" s="77" t="s">
        <v>660</v>
      </c>
      <c r="Q351" s="77" t="s">
        <v>660</v>
      </c>
      <c r="R351" s="77" t="s">
        <v>660</v>
      </c>
      <c r="S351" s="77" t="s">
        <v>660</v>
      </c>
      <c r="T351" s="77" t="s">
        <v>660</v>
      </c>
      <c r="U351" s="77" t="s">
        <v>660</v>
      </c>
      <c r="V351" s="77" t="s">
        <v>660</v>
      </c>
      <c r="W351" s="77" t="s">
        <v>660</v>
      </c>
      <c r="X351" s="78" t="s">
        <v>660</v>
      </c>
    </row>
    <row r="352" spans="1:24">
      <c r="A352" s="28" t="s">
        <v>689</v>
      </c>
      <c r="B352" s="29" t="s">
        <v>689</v>
      </c>
      <c r="C352" s="2" t="s">
        <v>771</v>
      </c>
      <c r="D352" s="2" t="s">
        <v>16</v>
      </c>
      <c r="E352" s="27" t="s">
        <v>660</v>
      </c>
      <c r="F352" s="13" t="s">
        <v>660</v>
      </c>
      <c r="G352" s="2" t="s">
        <v>7</v>
      </c>
      <c r="H352" s="2">
        <v>46</v>
      </c>
      <c r="I352" s="10" t="s">
        <v>78</v>
      </c>
      <c r="J352" s="14" t="s">
        <v>692</v>
      </c>
      <c r="K352" s="15" t="s">
        <v>80</v>
      </c>
      <c r="L352" s="14" t="s">
        <v>693</v>
      </c>
      <c r="M352" s="80" t="s">
        <v>660</v>
      </c>
      <c r="N352" s="77" t="s">
        <v>660</v>
      </c>
      <c r="O352" s="77" t="s">
        <v>660</v>
      </c>
      <c r="P352" s="77" t="s">
        <v>660</v>
      </c>
      <c r="Q352" s="77" t="s">
        <v>660</v>
      </c>
      <c r="R352" s="77" t="s">
        <v>660</v>
      </c>
      <c r="S352" s="77" t="s">
        <v>660</v>
      </c>
      <c r="T352" s="77" t="s">
        <v>660</v>
      </c>
      <c r="U352" s="77" t="s">
        <v>660</v>
      </c>
      <c r="V352" s="77" t="s">
        <v>660</v>
      </c>
      <c r="W352" s="77" t="s">
        <v>660</v>
      </c>
      <c r="X352" s="78" t="s">
        <v>660</v>
      </c>
    </row>
    <row r="353" spans="1:24">
      <c r="A353" s="28" t="s">
        <v>689</v>
      </c>
      <c r="B353" s="29" t="s">
        <v>689</v>
      </c>
      <c r="C353" s="2" t="s">
        <v>772</v>
      </c>
      <c r="D353" s="2" t="s">
        <v>15</v>
      </c>
      <c r="E353" s="27" t="s">
        <v>660</v>
      </c>
      <c r="F353" s="13" t="s">
        <v>660</v>
      </c>
      <c r="G353" s="2" t="s">
        <v>8</v>
      </c>
      <c r="H353" s="2" t="s">
        <v>179</v>
      </c>
      <c r="I353" s="10" t="s">
        <v>78</v>
      </c>
      <c r="J353" s="14" t="s">
        <v>692</v>
      </c>
      <c r="K353" s="15" t="s">
        <v>80</v>
      </c>
      <c r="L353" s="14" t="s">
        <v>693</v>
      </c>
      <c r="M353" s="80" t="s">
        <v>660</v>
      </c>
      <c r="N353" s="77" t="s">
        <v>660</v>
      </c>
      <c r="O353" s="77" t="s">
        <v>660</v>
      </c>
      <c r="P353" s="77" t="s">
        <v>660</v>
      </c>
      <c r="Q353" s="77" t="s">
        <v>660</v>
      </c>
      <c r="R353" s="77" t="s">
        <v>660</v>
      </c>
      <c r="S353" s="77" t="s">
        <v>660</v>
      </c>
      <c r="T353" s="77" t="s">
        <v>660</v>
      </c>
      <c r="U353" s="77" t="s">
        <v>660</v>
      </c>
      <c r="V353" s="77" t="s">
        <v>660</v>
      </c>
      <c r="W353" s="77" t="s">
        <v>660</v>
      </c>
      <c r="X353" s="78" t="s">
        <v>660</v>
      </c>
    </row>
    <row r="354" spans="1:24">
      <c r="A354" s="28" t="s">
        <v>689</v>
      </c>
      <c r="B354" s="29" t="s">
        <v>689</v>
      </c>
      <c r="C354" s="2" t="s">
        <v>773</v>
      </c>
      <c r="D354" s="2" t="s">
        <v>22</v>
      </c>
      <c r="E354" s="27" t="s">
        <v>660</v>
      </c>
      <c r="F354" s="13" t="s">
        <v>660</v>
      </c>
      <c r="G354" s="2" t="s">
        <v>7</v>
      </c>
      <c r="H354" s="2" t="s">
        <v>691</v>
      </c>
      <c r="I354" s="10" t="s">
        <v>78</v>
      </c>
      <c r="J354" s="14" t="s">
        <v>692</v>
      </c>
      <c r="K354" s="15" t="s">
        <v>80</v>
      </c>
      <c r="L354" s="14" t="s">
        <v>693</v>
      </c>
      <c r="M354" s="80" t="s">
        <v>660</v>
      </c>
      <c r="N354" s="77" t="s">
        <v>660</v>
      </c>
      <c r="O354" s="77" t="s">
        <v>660</v>
      </c>
      <c r="P354" s="77" t="s">
        <v>660</v>
      </c>
      <c r="Q354" s="77" t="s">
        <v>660</v>
      </c>
      <c r="R354" s="77" t="s">
        <v>660</v>
      </c>
      <c r="S354" s="77" t="s">
        <v>660</v>
      </c>
      <c r="T354" s="77" t="s">
        <v>660</v>
      </c>
      <c r="U354" s="77" t="s">
        <v>660</v>
      </c>
      <c r="V354" s="77" t="s">
        <v>660</v>
      </c>
      <c r="W354" s="77" t="s">
        <v>660</v>
      </c>
      <c r="X354" s="78" t="s">
        <v>660</v>
      </c>
    </row>
    <row r="355" spans="1:24">
      <c r="A355" s="28" t="s">
        <v>689</v>
      </c>
      <c r="B355" s="29" t="s">
        <v>689</v>
      </c>
      <c r="C355" s="2" t="s">
        <v>774</v>
      </c>
      <c r="D355" s="2" t="s">
        <v>25</v>
      </c>
      <c r="E355" s="27" t="s">
        <v>660</v>
      </c>
      <c r="F355" s="13" t="s">
        <v>660</v>
      </c>
      <c r="G355" s="2" t="s">
        <v>7</v>
      </c>
      <c r="H355" s="2" t="s">
        <v>179</v>
      </c>
      <c r="I355" s="10" t="s">
        <v>78</v>
      </c>
      <c r="J355" s="14" t="s">
        <v>692</v>
      </c>
      <c r="K355" s="15" t="s">
        <v>80</v>
      </c>
      <c r="L355" s="14" t="s">
        <v>693</v>
      </c>
      <c r="M355" s="80" t="s">
        <v>660</v>
      </c>
      <c r="N355" s="77" t="s">
        <v>660</v>
      </c>
      <c r="O355" s="77" t="s">
        <v>660</v>
      </c>
      <c r="P355" s="77" t="s">
        <v>660</v>
      </c>
      <c r="Q355" s="77" t="s">
        <v>660</v>
      </c>
      <c r="R355" s="77" t="s">
        <v>660</v>
      </c>
      <c r="S355" s="77" t="s">
        <v>660</v>
      </c>
      <c r="T355" s="77" t="s">
        <v>660</v>
      </c>
      <c r="U355" s="77" t="s">
        <v>660</v>
      </c>
      <c r="V355" s="77" t="s">
        <v>660</v>
      </c>
      <c r="W355" s="77" t="s">
        <v>660</v>
      </c>
      <c r="X355" s="78" t="s">
        <v>660</v>
      </c>
    </row>
    <row r="356" spans="1:24">
      <c r="A356" s="28" t="s">
        <v>689</v>
      </c>
      <c r="B356" s="29" t="s">
        <v>689</v>
      </c>
      <c r="C356" s="2" t="s">
        <v>775</v>
      </c>
      <c r="D356" s="2" t="s">
        <v>700</v>
      </c>
      <c r="E356" s="27" t="s">
        <v>660</v>
      </c>
      <c r="F356" s="13" t="s">
        <v>660</v>
      </c>
      <c r="G356" s="2" t="s">
        <v>8</v>
      </c>
      <c r="H356" s="2" t="s">
        <v>695</v>
      </c>
      <c r="I356" s="10" t="s">
        <v>78</v>
      </c>
      <c r="J356" s="14" t="s">
        <v>692</v>
      </c>
      <c r="K356" s="15" t="s">
        <v>80</v>
      </c>
      <c r="L356" s="14" t="s">
        <v>693</v>
      </c>
      <c r="M356" s="80" t="s">
        <v>660</v>
      </c>
      <c r="N356" s="77" t="s">
        <v>660</v>
      </c>
      <c r="O356" s="77" t="s">
        <v>660</v>
      </c>
      <c r="P356" s="77" t="s">
        <v>660</v>
      </c>
      <c r="Q356" s="77" t="s">
        <v>660</v>
      </c>
      <c r="R356" s="77" t="s">
        <v>660</v>
      </c>
      <c r="S356" s="77" t="s">
        <v>660</v>
      </c>
      <c r="T356" s="77" t="s">
        <v>660</v>
      </c>
      <c r="U356" s="77" t="s">
        <v>660</v>
      </c>
      <c r="V356" s="77" t="s">
        <v>660</v>
      </c>
      <c r="W356" s="77" t="s">
        <v>660</v>
      </c>
      <c r="X356" s="78" t="s">
        <v>660</v>
      </c>
    </row>
    <row r="357" spans="1:24">
      <c r="A357" s="28" t="s">
        <v>689</v>
      </c>
      <c r="B357" s="29" t="s">
        <v>689</v>
      </c>
      <c r="C357" s="2" t="s">
        <v>776</v>
      </c>
      <c r="D357" s="2" t="s">
        <v>710</v>
      </c>
      <c r="E357" s="27" t="s">
        <v>660</v>
      </c>
      <c r="F357" s="13" t="s">
        <v>660</v>
      </c>
      <c r="G357" s="2" t="s">
        <v>7</v>
      </c>
      <c r="H357" s="2" t="s">
        <v>179</v>
      </c>
      <c r="I357" s="10" t="s">
        <v>78</v>
      </c>
      <c r="J357" s="14" t="s">
        <v>692</v>
      </c>
      <c r="K357" s="15" t="s">
        <v>80</v>
      </c>
      <c r="L357" s="14" t="s">
        <v>693</v>
      </c>
      <c r="M357" s="80" t="s">
        <v>660</v>
      </c>
      <c r="N357" s="77" t="s">
        <v>660</v>
      </c>
      <c r="O357" s="77" t="s">
        <v>660</v>
      </c>
      <c r="P357" s="77" t="s">
        <v>660</v>
      </c>
      <c r="Q357" s="77" t="s">
        <v>660</v>
      </c>
      <c r="R357" s="77" t="s">
        <v>660</v>
      </c>
      <c r="S357" s="77" t="s">
        <v>660</v>
      </c>
      <c r="T357" s="77" t="s">
        <v>660</v>
      </c>
      <c r="U357" s="77" t="s">
        <v>660</v>
      </c>
      <c r="V357" s="77" t="s">
        <v>660</v>
      </c>
      <c r="W357" s="77" t="s">
        <v>660</v>
      </c>
      <c r="X357" s="78" t="s">
        <v>660</v>
      </c>
    </row>
    <row r="358" spans="1:24">
      <c r="A358" s="28" t="s">
        <v>689</v>
      </c>
      <c r="B358" s="29" t="s">
        <v>689</v>
      </c>
      <c r="C358" s="2" t="s">
        <v>777</v>
      </c>
      <c r="D358" s="2" t="s">
        <v>700</v>
      </c>
      <c r="E358" s="27" t="s">
        <v>660</v>
      </c>
      <c r="F358" s="13" t="s">
        <v>660</v>
      </c>
      <c r="G358" s="2" t="s">
        <v>8</v>
      </c>
      <c r="H358" s="2" t="s">
        <v>691</v>
      </c>
      <c r="I358" s="10" t="s">
        <v>78</v>
      </c>
      <c r="J358" s="14" t="s">
        <v>692</v>
      </c>
      <c r="K358" s="15" t="s">
        <v>80</v>
      </c>
      <c r="L358" s="14" t="s">
        <v>693</v>
      </c>
      <c r="M358" s="80" t="s">
        <v>660</v>
      </c>
      <c r="N358" s="77" t="s">
        <v>660</v>
      </c>
      <c r="O358" s="77" t="s">
        <v>660</v>
      </c>
      <c r="P358" s="77" t="s">
        <v>660</v>
      </c>
      <c r="Q358" s="77" t="s">
        <v>660</v>
      </c>
      <c r="R358" s="77" t="s">
        <v>660</v>
      </c>
      <c r="S358" s="77" t="s">
        <v>660</v>
      </c>
      <c r="T358" s="77" t="s">
        <v>660</v>
      </c>
      <c r="U358" s="77" t="s">
        <v>660</v>
      </c>
      <c r="V358" s="77" t="s">
        <v>660</v>
      </c>
      <c r="W358" s="77" t="s">
        <v>660</v>
      </c>
      <c r="X358" s="78" t="s">
        <v>660</v>
      </c>
    </row>
    <row r="359" spans="1:24">
      <c r="A359" s="28" t="s">
        <v>689</v>
      </c>
      <c r="B359" s="29" t="s">
        <v>689</v>
      </c>
      <c r="C359" s="2" t="s">
        <v>778</v>
      </c>
      <c r="D359" s="2" t="s">
        <v>700</v>
      </c>
      <c r="E359" s="27" t="s">
        <v>660</v>
      </c>
      <c r="F359" s="13" t="s">
        <v>660</v>
      </c>
      <c r="G359" s="2" t="s">
        <v>8</v>
      </c>
      <c r="H359" s="2">
        <v>46</v>
      </c>
      <c r="I359" s="10" t="s">
        <v>78</v>
      </c>
      <c r="J359" s="14" t="s">
        <v>692</v>
      </c>
      <c r="K359" s="15" t="s">
        <v>80</v>
      </c>
      <c r="L359" s="14" t="s">
        <v>693</v>
      </c>
      <c r="M359" s="80" t="s">
        <v>660</v>
      </c>
      <c r="N359" s="77" t="s">
        <v>660</v>
      </c>
      <c r="O359" s="77" t="s">
        <v>660</v>
      </c>
      <c r="P359" s="77" t="s">
        <v>660</v>
      </c>
      <c r="Q359" s="77" t="s">
        <v>660</v>
      </c>
      <c r="R359" s="77" t="s">
        <v>660</v>
      </c>
      <c r="S359" s="77" t="s">
        <v>660</v>
      </c>
      <c r="T359" s="77" t="s">
        <v>660</v>
      </c>
      <c r="U359" s="77" t="s">
        <v>660</v>
      </c>
      <c r="V359" s="77" t="s">
        <v>660</v>
      </c>
      <c r="W359" s="77" t="s">
        <v>660</v>
      </c>
      <c r="X359" s="78" t="s">
        <v>660</v>
      </c>
    </row>
    <row r="360" spans="1:24">
      <c r="A360" s="28" t="s">
        <v>689</v>
      </c>
      <c r="B360" s="29" t="s">
        <v>689</v>
      </c>
      <c r="C360" s="2" t="s">
        <v>779</v>
      </c>
      <c r="D360" s="2" t="s">
        <v>712</v>
      </c>
      <c r="E360" s="27" t="s">
        <v>660</v>
      </c>
      <c r="F360" s="13" t="s">
        <v>660</v>
      </c>
      <c r="G360" s="2" t="s">
        <v>8</v>
      </c>
      <c r="H360" s="2" t="s">
        <v>698</v>
      </c>
      <c r="I360" s="10" t="s">
        <v>78</v>
      </c>
      <c r="J360" s="14" t="s">
        <v>692</v>
      </c>
      <c r="K360" s="15" t="s">
        <v>80</v>
      </c>
      <c r="L360" s="14" t="s">
        <v>693</v>
      </c>
      <c r="M360" s="80" t="s">
        <v>660</v>
      </c>
      <c r="N360" s="77" t="s">
        <v>660</v>
      </c>
      <c r="O360" s="77" t="s">
        <v>660</v>
      </c>
      <c r="P360" s="77" t="s">
        <v>660</v>
      </c>
      <c r="Q360" s="77" t="s">
        <v>660</v>
      </c>
      <c r="R360" s="77" t="s">
        <v>660</v>
      </c>
      <c r="S360" s="77" t="s">
        <v>660</v>
      </c>
      <c r="T360" s="77" t="s">
        <v>660</v>
      </c>
      <c r="U360" s="77" t="s">
        <v>660</v>
      </c>
      <c r="V360" s="77" t="s">
        <v>660</v>
      </c>
      <c r="W360" s="77" t="s">
        <v>660</v>
      </c>
      <c r="X360" s="78" t="s">
        <v>660</v>
      </c>
    </row>
    <row r="361" spans="1:24">
      <c r="A361" s="28" t="s">
        <v>689</v>
      </c>
      <c r="B361" s="29" t="s">
        <v>689</v>
      </c>
      <c r="C361" s="2" t="s">
        <v>780</v>
      </c>
      <c r="D361" s="2" t="s">
        <v>18</v>
      </c>
      <c r="E361" s="27" t="s">
        <v>660</v>
      </c>
      <c r="F361" s="13" t="s">
        <v>660</v>
      </c>
      <c r="G361" s="2" t="s">
        <v>8</v>
      </c>
      <c r="H361" s="2" t="s">
        <v>179</v>
      </c>
      <c r="I361" s="10" t="s">
        <v>78</v>
      </c>
      <c r="J361" s="14" t="s">
        <v>692</v>
      </c>
      <c r="K361" s="15" t="s">
        <v>80</v>
      </c>
      <c r="L361" s="14" t="s">
        <v>693</v>
      </c>
      <c r="M361" s="80" t="s">
        <v>660</v>
      </c>
      <c r="N361" s="77" t="s">
        <v>660</v>
      </c>
      <c r="O361" s="77" t="s">
        <v>660</v>
      </c>
      <c r="P361" s="77" t="s">
        <v>660</v>
      </c>
      <c r="Q361" s="77" t="s">
        <v>660</v>
      </c>
      <c r="R361" s="77" t="s">
        <v>660</v>
      </c>
      <c r="S361" s="77" t="s">
        <v>660</v>
      </c>
      <c r="T361" s="77" t="s">
        <v>660</v>
      </c>
      <c r="U361" s="77" t="s">
        <v>660</v>
      </c>
      <c r="V361" s="77" t="s">
        <v>660</v>
      </c>
      <c r="W361" s="77" t="s">
        <v>660</v>
      </c>
      <c r="X361" s="78" t="s">
        <v>660</v>
      </c>
    </row>
    <row r="362" spans="1:24">
      <c r="A362" s="28" t="s">
        <v>689</v>
      </c>
      <c r="B362" s="29" t="s">
        <v>689</v>
      </c>
      <c r="C362" s="2" t="s">
        <v>781</v>
      </c>
      <c r="D362" s="2" t="s">
        <v>712</v>
      </c>
      <c r="E362" s="27" t="s">
        <v>660</v>
      </c>
      <c r="F362" s="13" t="s">
        <v>660</v>
      </c>
      <c r="G362" s="2" t="s">
        <v>8</v>
      </c>
      <c r="H362" s="2">
        <v>46</v>
      </c>
      <c r="I362" s="10" t="s">
        <v>78</v>
      </c>
      <c r="J362" s="14" t="s">
        <v>692</v>
      </c>
      <c r="K362" s="15" t="s">
        <v>80</v>
      </c>
      <c r="L362" s="14" t="s">
        <v>693</v>
      </c>
      <c r="M362" s="80" t="s">
        <v>660</v>
      </c>
      <c r="N362" s="77" t="s">
        <v>660</v>
      </c>
      <c r="O362" s="77" t="s">
        <v>660</v>
      </c>
      <c r="P362" s="77" t="s">
        <v>660</v>
      </c>
      <c r="Q362" s="77" t="s">
        <v>660</v>
      </c>
      <c r="R362" s="77" t="s">
        <v>660</v>
      </c>
      <c r="S362" s="77" t="s">
        <v>660</v>
      </c>
      <c r="T362" s="77" t="s">
        <v>660</v>
      </c>
      <c r="U362" s="77" t="s">
        <v>660</v>
      </c>
      <c r="V362" s="77" t="s">
        <v>660</v>
      </c>
      <c r="W362" s="77" t="s">
        <v>660</v>
      </c>
      <c r="X362" s="78" t="s">
        <v>660</v>
      </c>
    </row>
    <row r="363" spans="1:24">
      <c r="A363" s="28" t="s">
        <v>689</v>
      </c>
      <c r="B363" s="29" t="s">
        <v>689</v>
      </c>
      <c r="C363" s="2" t="s">
        <v>782</v>
      </c>
      <c r="D363" s="2" t="s">
        <v>700</v>
      </c>
      <c r="E363" s="27" t="s">
        <v>660</v>
      </c>
      <c r="F363" s="13" t="s">
        <v>660</v>
      </c>
      <c r="G363" s="2" t="s">
        <v>8</v>
      </c>
      <c r="H363" s="2">
        <v>46</v>
      </c>
      <c r="I363" s="10" t="s">
        <v>78</v>
      </c>
      <c r="J363" s="14" t="s">
        <v>692</v>
      </c>
      <c r="K363" s="15" t="s">
        <v>80</v>
      </c>
      <c r="L363" s="14" t="s">
        <v>693</v>
      </c>
      <c r="M363" s="80" t="s">
        <v>660</v>
      </c>
      <c r="N363" s="77" t="s">
        <v>660</v>
      </c>
      <c r="O363" s="77" t="s">
        <v>660</v>
      </c>
      <c r="P363" s="77" t="s">
        <v>660</v>
      </c>
      <c r="Q363" s="77" t="s">
        <v>660</v>
      </c>
      <c r="R363" s="77" t="s">
        <v>660</v>
      </c>
      <c r="S363" s="77" t="s">
        <v>660</v>
      </c>
      <c r="T363" s="77" t="s">
        <v>660</v>
      </c>
      <c r="U363" s="77" t="s">
        <v>660</v>
      </c>
      <c r="V363" s="77" t="s">
        <v>660</v>
      </c>
      <c r="W363" s="77" t="s">
        <v>660</v>
      </c>
      <c r="X363" s="78" t="s">
        <v>660</v>
      </c>
    </row>
    <row r="364" spans="1:24">
      <c r="A364" s="28" t="s">
        <v>689</v>
      </c>
      <c r="B364" s="29" t="s">
        <v>689</v>
      </c>
      <c r="C364" s="2" t="s">
        <v>783</v>
      </c>
      <c r="D364" s="2" t="s">
        <v>712</v>
      </c>
      <c r="E364" s="27" t="s">
        <v>660</v>
      </c>
      <c r="F364" s="13" t="s">
        <v>660</v>
      </c>
      <c r="G364" s="2" t="s">
        <v>8</v>
      </c>
      <c r="H364" s="2" t="s">
        <v>698</v>
      </c>
      <c r="I364" s="10" t="s">
        <v>78</v>
      </c>
      <c r="J364" s="14" t="s">
        <v>692</v>
      </c>
      <c r="K364" s="15" t="s">
        <v>80</v>
      </c>
      <c r="L364" s="14" t="s">
        <v>693</v>
      </c>
      <c r="M364" s="80" t="s">
        <v>660</v>
      </c>
      <c r="N364" s="77" t="s">
        <v>660</v>
      </c>
      <c r="O364" s="77" t="s">
        <v>660</v>
      </c>
      <c r="P364" s="77" t="s">
        <v>660</v>
      </c>
      <c r="Q364" s="77" t="s">
        <v>660</v>
      </c>
      <c r="R364" s="77" t="s">
        <v>660</v>
      </c>
      <c r="S364" s="77" t="s">
        <v>660</v>
      </c>
      <c r="T364" s="77" t="s">
        <v>660</v>
      </c>
      <c r="U364" s="77" t="s">
        <v>660</v>
      </c>
      <c r="V364" s="77" t="s">
        <v>660</v>
      </c>
      <c r="W364" s="77" t="s">
        <v>660</v>
      </c>
      <c r="X364" s="78" t="s">
        <v>660</v>
      </c>
    </row>
    <row r="365" spans="1:24">
      <c r="A365" s="28" t="s">
        <v>689</v>
      </c>
      <c r="B365" s="29" t="s">
        <v>689</v>
      </c>
      <c r="C365" s="2" t="s">
        <v>784</v>
      </c>
      <c r="D365" s="2" t="s">
        <v>700</v>
      </c>
      <c r="E365" s="27" t="s">
        <v>660</v>
      </c>
      <c r="F365" s="13" t="s">
        <v>660</v>
      </c>
      <c r="G365" s="2" t="s">
        <v>8</v>
      </c>
      <c r="H365" s="2" t="s">
        <v>698</v>
      </c>
      <c r="I365" s="10" t="s">
        <v>78</v>
      </c>
      <c r="J365" s="14" t="s">
        <v>692</v>
      </c>
      <c r="K365" s="15" t="s">
        <v>80</v>
      </c>
      <c r="L365" s="14" t="s">
        <v>693</v>
      </c>
      <c r="M365" s="80" t="s">
        <v>660</v>
      </c>
      <c r="N365" s="77" t="s">
        <v>660</v>
      </c>
      <c r="O365" s="77" t="s">
        <v>660</v>
      </c>
      <c r="P365" s="77" t="s">
        <v>660</v>
      </c>
      <c r="Q365" s="77" t="s">
        <v>660</v>
      </c>
      <c r="R365" s="77" t="s">
        <v>660</v>
      </c>
      <c r="S365" s="77" t="s">
        <v>660</v>
      </c>
      <c r="T365" s="77" t="s">
        <v>660</v>
      </c>
      <c r="U365" s="77" t="s">
        <v>660</v>
      </c>
      <c r="V365" s="77" t="s">
        <v>660</v>
      </c>
      <c r="W365" s="77" t="s">
        <v>660</v>
      </c>
      <c r="X365" s="78" t="s">
        <v>660</v>
      </c>
    </row>
    <row r="366" spans="1:24">
      <c r="A366" s="28" t="s">
        <v>689</v>
      </c>
      <c r="B366" s="29" t="s">
        <v>689</v>
      </c>
      <c r="C366" s="2" t="s">
        <v>785</v>
      </c>
      <c r="D366" s="2" t="s">
        <v>15</v>
      </c>
      <c r="E366" s="27" t="s">
        <v>660</v>
      </c>
      <c r="F366" s="13" t="s">
        <v>660</v>
      </c>
      <c r="G366" s="2" t="s">
        <v>7</v>
      </c>
      <c r="H366" s="2" t="s">
        <v>695</v>
      </c>
      <c r="I366" s="10" t="s">
        <v>78</v>
      </c>
      <c r="J366" s="14" t="s">
        <v>692</v>
      </c>
      <c r="K366" s="15" t="s">
        <v>80</v>
      </c>
      <c r="L366" s="14" t="s">
        <v>693</v>
      </c>
      <c r="M366" s="80" t="s">
        <v>660</v>
      </c>
      <c r="N366" s="77" t="s">
        <v>660</v>
      </c>
      <c r="O366" s="77" t="s">
        <v>660</v>
      </c>
      <c r="P366" s="77" t="s">
        <v>660</v>
      </c>
      <c r="Q366" s="77" t="s">
        <v>660</v>
      </c>
      <c r="R366" s="77" t="s">
        <v>660</v>
      </c>
      <c r="S366" s="77" t="s">
        <v>660</v>
      </c>
      <c r="T366" s="77" t="s">
        <v>660</v>
      </c>
      <c r="U366" s="77" t="s">
        <v>660</v>
      </c>
      <c r="V366" s="77" t="s">
        <v>660</v>
      </c>
      <c r="W366" s="77" t="s">
        <v>660</v>
      </c>
      <c r="X366" s="78" t="s">
        <v>660</v>
      </c>
    </row>
    <row r="367" spans="1:24">
      <c r="A367" s="28" t="s">
        <v>689</v>
      </c>
      <c r="B367" s="29" t="s">
        <v>689</v>
      </c>
      <c r="C367" s="2" t="s">
        <v>786</v>
      </c>
      <c r="D367" s="2" t="s">
        <v>15</v>
      </c>
      <c r="E367" s="27" t="s">
        <v>660</v>
      </c>
      <c r="F367" s="13" t="s">
        <v>660</v>
      </c>
      <c r="G367" s="2" t="s">
        <v>7</v>
      </c>
      <c r="H367" s="2" t="s">
        <v>691</v>
      </c>
      <c r="I367" s="10" t="s">
        <v>78</v>
      </c>
      <c r="J367" s="14" t="s">
        <v>692</v>
      </c>
      <c r="K367" s="15" t="s">
        <v>80</v>
      </c>
      <c r="L367" s="14" t="s">
        <v>693</v>
      </c>
      <c r="M367" s="80" t="s">
        <v>660</v>
      </c>
      <c r="N367" s="77" t="s">
        <v>660</v>
      </c>
      <c r="O367" s="77" t="s">
        <v>660</v>
      </c>
      <c r="P367" s="77" t="s">
        <v>660</v>
      </c>
      <c r="Q367" s="77" t="s">
        <v>660</v>
      </c>
      <c r="R367" s="77" t="s">
        <v>660</v>
      </c>
      <c r="S367" s="77" t="s">
        <v>660</v>
      </c>
      <c r="T367" s="77" t="s">
        <v>660</v>
      </c>
      <c r="U367" s="77" t="s">
        <v>660</v>
      </c>
      <c r="V367" s="77" t="s">
        <v>660</v>
      </c>
      <c r="W367" s="77" t="s">
        <v>660</v>
      </c>
      <c r="X367" s="78" t="s">
        <v>660</v>
      </c>
    </row>
    <row r="368" spans="1:24">
      <c r="A368" s="28" t="s">
        <v>689</v>
      </c>
      <c r="B368" s="29" t="s">
        <v>689</v>
      </c>
      <c r="C368" s="2" t="s">
        <v>787</v>
      </c>
      <c r="D368" s="2" t="s">
        <v>18</v>
      </c>
      <c r="E368" s="27" t="s">
        <v>660</v>
      </c>
      <c r="F368" s="13" t="s">
        <v>660</v>
      </c>
      <c r="G368" s="2" t="s">
        <v>8</v>
      </c>
      <c r="H368" s="2" t="s">
        <v>691</v>
      </c>
      <c r="I368" s="10" t="s">
        <v>78</v>
      </c>
      <c r="J368" s="14" t="s">
        <v>692</v>
      </c>
      <c r="K368" s="15" t="s">
        <v>80</v>
      </c>
      <c r="L368" s="14" t="s">
        <v>693</v>
      </c>
      <c r="M368" s="80" t="s">
        <v>660</v>
      </c>
      <c r="N368" s="77" t="s">
        <v>660</v>
      </c>
      <c r="O368" s="77" t="s">
        <v>660</v>
      </c>
      <c r="P368" s="77" t="s">
        <v>660</v>
      </c>
      <c r="Q368" s="77" t="s">
        <v>660</v>
      </c>
      <c r="R368" s="77" t="s">
        <v>660</v>
      </c>
      <c r="S368" s="77" t="s">
        <v>660</v>
      </c>
      <c r="T368" s="77" t="s">
        <v>660</v>
      </c>
      <c r="U368" s="77" t="s">
        <v>660</v>
      </c>
      <c r="V368" s="77" t="s">
        <v>660</v>
      </c>
      <c r="W368" s="77" t="s">
        <v>660</v>
      </c>
      <c r="X368" s="78" t="s">
        <v>660</v>
      </c>
    </row>
    <row r="369" spans="1:24">
      <c r="A369" s="28" t="s">
        <v>689</v>
      </c>
      <c r="B369" s="29" t="s">
        <v>689</v>
      </c>
      <c r="C369" s="2" t="s">
        <v>788</v>
      </c>
      <c r="D369" s="2" t="s">
        <v>15</v>
      </c>
      <c r="E369" s="27" t="s">
        <v>660</v>
      </c>
      <c r="F369" s="13" t="s">
        <v>660</v>
      </c>
      <c r="G369" s="2" t="s">
        <v>7</v>
      </c>
      <c r="H369" s="2" t="s">
        <v>691</v>
      </c>
      <c r="I369" s="10" t="s">
        <v>78</v>
      </c>
      <c r="J369" s="14" t="s">
        <v>692</v>
      </c>
      <c r="K369" s="15" t="s">
        <v>80</v>
      </c>
      <c r="L369" s="14" t="s">
        <v>693</v>
      </c>
      <c r="M369" s="80" t="s">
        <v>660</v>
      </c>
      <c r="N369" s="77" t="s">
        <v>660</v>
      </c>
      <c r="O369" s="77" t="s">
        <v>660</v>
      </c>
      <c r="P369" s="77" t="s">
        <v>660</v>
      </c>
      <c r="Q369" s="77" t="s">
        <v>660</v>
      </c>
      <c r="R369" s="77" t="s">
        <v>660</v>
      </c>
      <c r="S369" s="77" t="s">
        <v>660</v>
      </c>
      <c r="T369" s="77" t="s">
        <v>660</v>
      </c>
      <c r="U369" s="77" t="s">
        <v>660</v>
      </c>
      <c r="V369" s="77" t="s">
        <v>660</v>
      </c>
      <c r="W369" s="77" t="s">
        <v>660</v>
      </c>
      <c r="X369" s="78" t="s">
        <v>660</v>
      </c>
    </row>
    <row r="370" spans="1:24">
      <c r="A370" s="28" t="s">
        <v>689</v>
      </c>
      <c r="B370" s="29" t="s">
        <v>689</v>
      </c>
      <c r="C370" s="2" t="s">
        <v>789</v>
      </c>
      <c r="D370" s="2" t="s">
        <v>712</v>
      </c>
      <c r="E370" s="27" t="s">
        <v>660</v>
      </c>
      <c r="F370" s="13" t="s">
        <v>660</v>
      </c>
      <c r="G370" s="2" t="s">
        <v>7</v>
      </c>
      <c r="H370" s="2" t="s">
        <v>691</v>
      </c>
      <c r="I370" s="10" t="s">
        <v>78</v>
      </c>
      <c r="J370" s="14" t="s">
        <v>692</v>
      </c>
      <c r="K370" s="15" t="s">
        <v>80</v>
      </c>
      <c r="L370" s="14" t="s">
        <v>693</v>
      </c>
      <c r="M370" s="80" t="s">
        <v>660</v>
      </c>
      <c r="N370" s="77" t="s">
        <v>660</v>
      </c>
      <c r="O370" s="77" t="s">
        <v>660</v>
      </c>
      <c r="P370" s="77" t="s">
        <v>660</v>
      </c>
      <c r="Q370" s="77" t="s">
        <v>660</v>
      </c>
      <c r="R370" s="77" t="s">
        <v>660</v>
      </c>
      <c r="S370" s="77" t="s">
        <v>660</v>
      </c>
      <c r="T370" s="77" t="s">
        <v>660</v>
      </c>
      <c r="U370" s="77" t="s">
        <v>660</v>
      </c>
      <c r="V370" s="77" t="s">
        <v>660</v>
      </c>
      <c r="W370" s="77" t="s">
        <v>660</v>
      </c>
      <c r="X370" s="78" t="s">
        <v>660</v>
      </c>
    </row>
    <row r="371" spans="1:24">
      <c r="A371" s="28" t="s">
        <v>689</v>
      </c>
      <c r="B371" s="29" t="s">
        <v>689</v>
      </c>
      <c r="C371" s="2" t="s">
        <v>790</v>
      </c>
      <c r="D371" s="2" t="s">
        <v>712</v>
      </c>
      <c r="E371" s="27" t="s">
        <v>660</v>
      </c>
      <c r="F371" s="13" t="s">
        <v>660</v>
      </c>
      <c r="G371" s="2" t="s">
        <v>7</v>
      </c>
      <c r="H371" s="2" t="s">
        <v>179</v>
      </c>
      <c r="I371" s="10" t="s">
        <v>78</v>
      </c>
      <c r="J371" s="14" t="s">
        <v>692</v>
      </c>
      <c r="K371" s="15" t="s">
        <v>80</v>
      </c>
      <c r="L371" s="14" t="s">
        <v>693</v>
      </c>
      <c r="M371" s="80" t="s">
        <v>660</v>
      </c>
      <c r="N371" s="77" t="s">
        <v>660</v>
      </c>
      <c r="O371" s="77" t="s">
        <v>660</v>
      </c>
      <c r="P371" s="77" t="s">
        <v>660</v>
      </c>
      <c r="Q371" s="77" t="s">
        <v>660</v>
      </c>
      <c r="R371" s="77" t="s">
        <v>660</v>
      </c>
      <c r="S371" s="77" t="s">
        <v>660</v>
      </c>
      <c r="T371" s="77" t="s">
        <v>660</v>
      </c>
      <c r="U371" s="77" t="s">
        <v>660</v>
      </c>
      <c r="V371" s="77" t="s">
        <v>660</v>
      </c>
      <c r="W371" s="77" t="s">
        <v>660</v>
      </c>
      <c r="X371" s="78" t="s">
        <v>660</v>
      </c>
    </row>
    <row r="372" spans="1:24">
      <c r="A372" s="28" t="s">
        <v>689</v>
      </c>
      <c r="B372" s="29" t="s">
        <v>689</v>
      </c>
      <c r="C372" s="2" t="s">
        <v>791</v>
      </c>
      <c r="D372" s="2" t="s">
        <v>25</v>
      </c>
      <c r="E372" s="27" t="s">
        <v>660</v>
      </c>
      <c r="F372" s="13" t="s">
        <v>660</v>
      </c>
      <c r="G372" s="2" t="s">
        <v>7</v>
      </c>
      <c r="H372" s="2" t="s">
        <v>179</v>
      </c>
      <c r="I372" s="10" t="s">
        <v>78</v>
      </c>
      <c r="J372" s="14" t="s">
        <v>692</v>
      </c>
      <c r="K372" s="15" t="s">
        <v>80</v>
      </c>
      <c r="L372" s="14" t="s">
        <v>693</v>
      </c>
      <c r="M372" s="80" t="s">
        <v>660</v>
      </c>
      <c r="N372" s="77" t="s">
        <v>660</v>
      </c>
      <c r="O372" s="77" t="s">
        <v>660</v>
      </c>
      <c r="P372" s="77" t="s">
        <v>660</v>
      </c>
      <c r="Q372" s="77" t="s">
        <v>660</v>
      </c>
      <c r="R372" s="77" t="s">
        <v>660</v>
      </c>
      <c r="S372" s="77" t="s">
        <v>660</v>
      </c>
      <c r="T372" s="77" t="s">
        <v>660</v>
      </c>
      <c r="U372" s="77" t="s">
        <v>660</v>
      </c>
      <c r="V372" s="77" t="s">
        <v>660</v>
      </c>
      <c r="W372" s="77" t="s">
        <v>660</v>
      </c>
      <c r="X372" s="78" t="s">
        <v>660</v>
      </c>
    </row>
    <row r="373" spans="1:24">
      <c r="A373" s="28" t="s">
        <v>689</v>
      </c>
      <c r="B373" s="29" t="s">
        <v>689</v>
      </c>
      <c r="C373" s="2" t="s">
        <v>792</v>
      </c>
      <c r="D373" s="2" t="s">
        <v>18</v>
      </c>
      <c r="E373" s="27" t="s">
        <v>660</v>
      </c>
      <c r="F373" s="13" t="s">
        <v>660</v>
      </c>
      <c r="G373" s="2" t="s">
        <v>8</v>
      </c>
      <c r="H373" s="2" t="s">
        <v>179</v>
      </c>
      <c r="I373" s="10" t="s">
        <v>78</v>
      </c>
      <c r="J373" s="14" t="s">
        <v>692</v>
      </c>
      <c r="K373" s="15" t="s">
        <v>80</v>
      </c>
      <c r="L373" s="14" t="s">
        <v>693</v>
      </c>
      <c r="M373" s="80" t="s">
        <v>660</v>
      </c>
      <c r="N373" s="77" t="s">
        <v>660</v>
      </c>
      <c r="O373" s="77" t="s">
        <v>660</v>
      </c>
      <c r="P373" s="77" t="s">
        <v>660</v>
      </c>
      <c r="Q373" s="77" t="s">
        <v>660</v>
      </c>
      <c r="R373" s="77" t="s">
        <v>660</v>
      </c>
      <c r="S373" s="77" t="s">
        <v>660</v>
      </c>
      <c r="T373" s="77" t="s">
        <v>660</v>
      </c>
      <c r="U373" s="77" t="s">
        <v>660</v>
      </c>
      <c r="V373" s="77" t="s">
        <v>660</v>
      </c>
      <c r="W373" s="77" t="s">
        <v>660</v>
      </c>
      <c r="X373" s="78" t="s">
        <v>660</v>
      </c>
    </row>
    <row r="374" spans="1:24">
      <c r="A374" s="28" t="s">
        <v>689</v>
      </c>
      <c r="B374" s="29" t="s">
        <v>689</v>
      </c>
      <c r="C374" s="2" t="s">
        <v>793</v>
      </c>
      <c r="D374" s="2" t="s">
        <v>18</v>
      </c>
      <c r="E374" s="27" t="s">
        <v>660</v>
      </c>
      <c r="F374" s="13" t="s">
        <v>660</v>
      </c>
      <c r="G374" s="2" t="s">
        <v>8</v>
      </c>
      <c r="H374" s="2" t="s">
        <v>695</v>
      </c>
      <c r="I374" s="10" t="s">
        <v>78</v>
      </c>
      <c r="J374" s="14" t="s">
        <v>692</v>
      </c>
      <c r="K374" s="15" t="s">
        <v>80</v>
      </c>
      <c r="L374" s="14" t="s">
        <v>693</v>
      </c>
      <c r="M374" s="80" t="s">
        <v>660</v>
      </c>
      <c r="N374" s="77" t="s">
        <v>660</v>
      </c>
      <c r="O374" s="77" t="s">
        <v>660</v>
      </c>
      <c r="P374" s="77" t="s">
        <v>660</v>
      </c>
      <c r="Q374" s="77" t="s">
        <v>660</v>
      </c>
      <c r="R374" s="77" t="s">
        <v>660</v>
      </c>
      <c r="S374" s="77" t="s">
        <v>660</v>
      </c>
      <c r="T374" s="77" t="s">
        <v>660</v>
      </c>
      <c r="U374" s="77" t="s">
        <v>660</v>
      </c>
      <c r="V374" s="77" t="s">
        <v>660</v>
      </c>
      <c r="W374" s="77" t="s">
        <v>660</v>
      </c>
      <c r="X374" s="78" t="s">
        <v>660</v>
      </c>
    </row>
    <row r="375" spans="1:24">
      <c r="A375" s="28" t="s">
        <v>689</v>
      </c>
      <c r="B375" s="29" t="s">
        <v>689</v>
      </c>
      <c r="C375" s="2" t="s">
        <v>794</v>
      </c>
      <c r="D375" s="2" t="s">
        <v>15</v>
      </c>
      <c r="E375" s="27" t="s">
        <v>660</v>
      </c>
      <c r="F375" s="13" t="s">
        <v>660</v>
      </c>
      <c r="G375" s="2" t="s">
        <v>8</v>
      </c>
      <c r="H375" s="2" t="s">
        <v>691</v>
      </c>
      <c r="I375" s="10" t="s">
        <v>78</v>
      </c>
      <c r="J375" s="14" t="s">
        <v>692</v>
      </c>
      <c r="K375" s="15" t="s">
        <v>80</v>
      </c>
      <c r="L375" s="14" t="s">
        <v>693</v>
      </c>
      <c r="M375" s="80" t="s">
        <v>660</v>
      </c>
      <c r="N375" s="77" t="s">
        <v>660</v>
      </c>
      <c r="O375" s="77" t="s">
        <v>660</v>
      </c>
      <c r="P375" s="77" t="s">
        <v>660</v>
      </c>
      <c r="Q375" s="77" t="s">
        <v>660</v>
      </c>
      <c r="R375" s="77" t="s">
        <v>660</v>
      </c>
      <c r="S375" s="77" t="s">
        <v>660</v>
      </c>
      <c r="T375" s="77" t="s">
        <v>660</v>
      </c>
      <c r="U375" s="77" t="s">
        <v>660</v>
      </c>
      <c r="V375" s="77" t="s">
        <v>660</v>
      </c>
      <c r="W375" s="77" t="s">
        <v>660</v>
      </c>
      <c r="X375" s="78" t="s">
        <v>660</v>
      </c>
    </row>
    <row r="376" spans="1:24">
      <c r="A376" s="28" t="s">
        <v>689</v>
      </c>
      <c r="B376" s="29" t="s">
        <v>689</v>
      </c>
      <c r="C376" s="2" t="s">
        <v>795</v>
      </c>
      <c r="D376" s="2" t="s">
        <v>15</v>
      </c>
      <c r="E376" s="27" t="s">
        <v>660</v>
      </c>
      <c r="F376" s="13" t="s">
        <v>660</v>
      </c>
      <c r="G376" s="2" t="s">
        <v>8</v>
      </c>
      <c r="H376" s="2" t="s">
        <v>691</v>
      </c>
      <c r="I376" s="10" t="s">
        <v>78</v>
      </c>
      <c r="J376" s="14" t="s">
        <v>692</v>
      </c>
      <c r="K376" s="15" t="s">
        <v>80</v>
      </c>
      <c r="L376" s="14" t="s">
        <v>693</v>
      </c>
      <c r="M376" s="80" t="s">
        <v>660</v>
      </c>
      <c r="N376" s="77" t="s">
        <v>660</v>
      </c>
      <c r="O376" s="77" t="s">
        <v>660</v>
      </c>
      <c r="P376" s="77" t="s">
        <v>660</v>
      </c>
      <c r="Q376" s="77" t="s">
        <v>660</v>
      </c>
      <c r="R376" s="77" t="s">
        <v>660</v>
      </c>
      <c r="S376" s="77" t="s">
        <v>660</v>
      </c>
      <c r="T376" s="77" t="s">
        <v>660</v>
      </c>
      <c r="U376" s="77" t="s">
        <v>660</v>
      </c>
      <c r="V376" s="77" t="s">
        <v>660</v>
      </c>
      <c r="W376" s="77" t="s">
        <v>660</v>
      </c>
      <c r="X376" s="78" t="s">
        <v>660</v>
      </c>
    </row>
    <row r="377" spans="1:24">
      <c r="A377" s="28" t="s">
        <v>689</v>
      </c>
      <c r="B377" s="29" t="s">
        <v>689</v>
      </c>
      <c r="C377" s="2" t="s">
        <v>796</v>
      </c>
      <c r="D377" s="2" t="s">
        <v>18</v>
      </c>
      <c r="E377" s="27" t="s">
        <v>660</v>
      </c>
      <c r="F377" s="13" t="s">
        <v>660</v>
      </c>
      <c r="G377" s="2" t="s">
        <v>8</v>
      </c>
      <c r="H377" s="2" t="s">
        <v>691</v>
      </c>
      <c r="I377" s="10" t="s">
        <v>78</v>
      </c>
      <c r="J377" s="14" t="s">
        <v>692</v>
      </c>
      <c r="K377" s="15" t="s">
        <v>80</v>
      </c>
      <c r="L377" s="14" t="s">
        <v>693</v>
      </c>
      <c r="M377" s="80" t="s">
        <v>660</v>
      </c>
      <c r="N377" s="77" t="s">
        <v>660</v>
      </c>
      <c r="O377" s="77" t="s">
        <v>660</v>
      </c>
      <c r="P377" s="77" t="s">
        <v>660</v>
      </c>
      <c r="Q377" s="77" t="s">
        <v>660</v>
      </c>
      <c r="R377" s="77" t="s">
        <v>660</v>
      </c>
      <c r="S377" s="77" t="s">
        <v>660</v>
      </c>
      <c r="T377" s="77" t="s">
        <v>660</v>
      </c>
      <c r="U377" s="77" t="s">
        <v>660</v>
      </c>
      <c r="V377" s="77" t="s">
        <v>660</v>
      </c>
      <c r="W377" s="77" t="s">
        <v>660</v>
      </c>
      <c r="X377" s="78" t="s">
        <v>660</v>
      </c>
    </row>
    <row r="378" spans="1:24">
      <c r="A378" s="28" t="s">
        <v>689</v>
      </c>
      <c r="B378" s="29" t="s">
        <v>689</v>
      </c>
      <c r="C378" s="2" t="s">
        <v>797</v>
      </c>
      <c r="D378" s="2" t="s">
        <v>18</v>
      </c>
      <c r="E378" s="27" t="s">
        <v>660</v>
      </c>
      <c r="F378" s="13" t="s">
        <v>660</v>
      </c>
      <c r="G378" s="2" t="s">
        <v>8</v>
      </c>
      <c r="H378" s="2" t="s">
        <v>695</v>
      </c>
      <c r="I378" s="10" t="s">
        <v>78</v>
      </c>
      <c r="J378" s="14" t="s">
        <v>692</v>
      </c>
      <c r="K378" s="15" t="s">
        <v>80</v>
      </c>
      <c r="L378" s="14" t="s">
        <v>693</v>
      </c>
      <c r="M378" s="80" t="s">
        <v>660</v>
      </c>
      <c r="N378" s="77" t="s">
        <v>660</v>
      </c>
      <c r="O378" s="77" t="s">
        <v>660</v>
      </c>
      <c r="P378" s="77" t="s">
        <v>660</v>
      </c>
      <c r="Q378" s="77" t="s">
        <v>660</v>
      </c>
      <c r="R378" s="77" t="s">
        <v>660</v>
      </c>
      <c r="S378" s="77" t="s">
        <v>660</v>
      </c>
      <c r="T378" s="77" t="s">
        <v>660</v>
      </c>
      <c r="U378" s="77" t="s">
        <v>660</v>
      </c>
      <c r="V378" s="77" t="s">
        <v>660</v>
      </c>
      <c r="W378" s="77" t="s">
        <v>660</v>
      </c>
      <c r="X378" s="78" t="s">
        <v>660</v>
      </c>
    </row>
    <row r="379" spans="1:24">
      <c r="A379" s="28" t="s">
        <v>689</v>
      </c>
      <c r="B379" s="29" t="s">
        <v>689</v>
      </c>
      <c r="C379" s="2" t="s">
        <v>798</v>
      </c>
      <c r="D379" s="2" t="s">
        <v>16</v>
      </c>
      <c r="E379" s="27" t="s">
        <v>660</v>
      </c>
      <c r="F379" s="13" t="s">
        <v>660</v>
      </c>
      <c r="G379" s="2" t="s">
        <v>7</v>
      </c>
      <c r="H379" s="2" t="s">
        <v>691</v>
      </c>
      <c r="I379" s="10" t="s">
        <v>78</v>
      </c>
      <c r="J379" s="14" t="s">
        <v>692</v>
      </c>
      <c r="K379" s="15" t="s">
        <v>80</v>
      </c>
      <c r="L379" s="14" t="s">
        <v>693</v>
      </c>
      <c r="M379" s="80" t="s">
        <v>660</v>
      </c>
      <c r="N379" s="77" t="s">
        <v>660</v>
      </c>
      <c r="O379" s="77" t="s">
        <v>660</v>
      </c>
      <c r="P379" s="77" t="s">
        <v>660</v>
      </c>
      <c r="Q379" s="77" t="s">
        <v>660</v>
      </c>
      <c r="R379" s="77" t="s">
        <v>660</v>
      </c>
      <c r="S379" s="77" t="s">
        <v>660</v>
      </c>
      <c r="T379" s="77" t="s">
        <v>660</v>
      </c>
      <c r="U379" s="77" t="s">
        <v>660</v>
      </c>
      <c r="V379" s="77" t="s">
        <v>660</v>
      </c>
      <c r="W379" s="77" t="s">
        <v>660</v>
      </c>
      <c r="X379" s="78" t="s">
        <v>660</v>
      </c>
    </row>
    <row r="380" spans="1:24">
      <c r="A380" s="28" t="s">
        <v>689</v>
      </c>
      <c r="B380" s="29" t="s">
        <v>689</v>
      </c>
      <c r="C380" s="2" t="s">
        <v>799</v>
      </c>
      <c r="D380" s="2" t="s">
        <v>18</v>
      </c>
      <c r="E380" s="27" t="s">
        <v>660</v>
      </c>
      <c r="F380" s="13" t="s">
        <v>660</v>
      </c>
      <c r="G380" s="2" t="s">
        <v>8</v>
      </c>
      <c r="H380" s="2" t="s">
        <v>698</v>
      </c>
      <c r="I380" s="10" t="s">
        <v>78</v>
      </c>
      <c r="J380" s="14" t="s">
        <v>692</v>
      </c>
      <c r="K380" s="15" t="s">
        <v>80</v>
      </c>
      <c r="L380" s="14" t="s">
        <v>693</v>
      </c>
      <c r="M380" s="80" t="s">
        <v>660</v>
      </c>
      <c r="N380" s="77" t="s">
        <v>660</v>
      </c>
      <c r="O380" s="77" t="s">
        <v>660</v>
      </c>
      <c r="P380" s="77" t="s">
        <v>660</v>
      </c>
      <c r="Q380" s="77" t="s">
        <v>660</v>
      </c>
      <c r="R380" s="77" t="s">
        <v>660</v>
      </c>
      <c r="S380" s="77" t="s">
        <v>660</v>
      </c>
      <c r="T380" s="77" t="s">
        <v>660</v>
      </c>
      <c r="U380" s="77" t="s">
        <v>660</v>
      </c>
      <c r="V380" s="77" t="s">
        <v>660</v>
      </c>
      <c r="W380" s="77" t="s">
        <v>660</v>
      </c>
      <c r="X380" s="78" t="s">
        <v>660</v>
      </c>
    </row>
    <row r="381" spans="1:24">
      <c r="A381" s="28" t="s">
        <v>689</v>
      </c>
      <c r="B381" s="29" t="s">
        <v>689</v>
      </c>
      <c r="C381" s="2" t="s">
        <v>800</v>
      </c>
      <c r="D381" s="2" t="s">
        <v>700</v>
      </c>
      <c r="E381" s="27" t="s">
        <v>660</v>
      </c>
      <c r="F381" s="13" t="s">
        <v>660</v>
      </c>
      <c r="G381" s="2" t="s">
        <v>8</v>
      </c>
      <c r="H381" s="2" t="s">
        <v>695</v>
      </c>
      <c r="I381" s="10" t="s">
        <v>78</v>
      </c>
      <c r="J381" s="14" t="s">
        <v>692</v>
      </c>
      <c r="K381" s="15" t="s">
        <v>80</v>
      </c>
      <c r="L381" s="14" t="s">
        <v>693</v>
      </c>
      <c r="M381" s="80" t="s">
        <v>660</v>
      </c>
      <c r="N381" s="77" t="s">
        <v>660</v>
      </c>
      <c r="O381" s="77" t="s">
        <v>660</v>
      </c>
      <c r="P381" s="77" t="s">
        <v>660</v>
      </c>
      <c r="Q381" s="77" t="s">
        <v>660</v>
      </c>
      <c r="R381" s="77" t="s">
        <v>660</v>
      </c>
      <c r="S381" s="77" t="s">
        <v>660</v>
      </c>
      <c r="T381" s="77" t="s">
        <v>660</v>
      </c>
      <c r="U381" s="77" t="s">
        <v>660</v>
      </c>
      <c r="V381" s="77" t="s">
        <v>660</v>
      </c>
      <c r="W381" s="77" t="s">
        <v>660</v>
      </c>
      <c r="X381" s="78" t="s">
        <v>660</v>
      </c>
    </row>
    <row r="382" spans="1:24">
      <c r="A382" s="28" t="s">
        <v>689</v>
      </c>
      <c r="B382" s="29" t="s">
        <v>689</v>
      </c>
      <c r="C382" s="2" t="s">
        <v>801</v>
      </c>
      <c r="D382" s="2" t="s">
        <v>15</v>
      </c>
      <c r="E382" s="27" t="s">
        <v>660</v>
      </c>
      <c r="F382" s="13" t="s">
        <v>660</v>
      </c>
      <c r="G382" s="2" t="s">
        <v>7</v>
      </c>
      <c r="H382" s="2" t="s">
        <v>691</v>
      </c>
      <c r="I382" s="10" t="s">
        <v>78</v>
      </c>
      <c r="J382" s="14" t="s">
        <v>692</v>
      </c>
      <c r="K382" s="15" t="s">
        <v>80</v>
      </c>
      <c r="L382" s="14" t="s">
        <v>693</v>
      </c>
      <c r="M382" s="80" t="s">
        <v>660</v>
      </c>
      <c r="N382" s="77" t="s">
        <v>660</v>
      </c>
      <c r="O382" s="77" t="s">
        <v>660</v>
      </c>
      <c r="P382" s="77" t="s">
        <v>660</v>
      </c>
      <c r="Q382" s="77" t="s">
        <v>660</v>
      </c>
      <c r="R382" s="77" t="s">
        <v>660</v>
      </c>
      <c r="S382" s="77" t="s">
        <v>660</v>
      </c>
      <c r="T382" s="77" t="s">
        <v>660</v>
      </c>
      <c r="U382" s="77" t="s">
        <v>660</v>
      </c>
      <c r="V382" s="77" t="s">
        <v>660</v>
      </c>
      <c r="W382" s="77" t="s">
        <v>660</v>
      </c>
      <c r="X382" s="78" t="s">
        <v>660</v>
      </c>
    </row>
    <row r="383" spans="1:24">
      <c r="A383" s="28" t="s">
        <v>689</v>
      </c>
      <c r="B383" s="29" t="s">
        <v>689</v>
      </c>
      <c r="C383" s="2" t="s">
        <v>802</v>
      </c>
      <c r="D383" s="2" t="s">
        <v>729</v>
      </c>
      <c r="E383" s="27" t="s">
        <v>660</v>
      </c>
      <c r="F383" s="13" t="s">
        <v>660</v>
      </c>
      <c r="G383" s="2" t="s">
        <v>8</v>
      </c>
      <c r="H383" s="2">
        <v>46</v>
      </c>
      <c r="I383" s="10" t="s">
        <v>78</v>
      </c>
      <c r="J383" s="14" t="s">
        <v>692</v>
      </c>
      <c r="K383" s="15" t="s">
        <v>80</v>
      </c>
      <c r="L383" s="14" t="s">
        <v>693</v>
      </c>
      <c r="M383" s="80" t="s">
        <v>660</v>
      </c>
      <c r="N383" s="77" t="s">
        <v>660</v>
      </c>
      <c r="O383" s="77" t="s">
        <v>660</v>
      </c>
      <c r="P383" s="77" t="s">
        <v>660</v>
      </c>
      <c r="Q383" s="77" t="s">
        <v>660</v>
      </c>
      <c r="R383" s="77" t="s">
        <v>660</v>
      </c>
      <c r="S383" s="77" t="s">
        <v>660</v>
      </c>
      <c r="T383" s="77" t="s">
        <v>660</v>
      </c>
      <c r="U383" s="77" t="s">
        <v>660</v>
      </c>
      <c r="V383" s="77" t="s">
        <v>660</v>
      </c>
      <c r="W383" s="77" t="s">
        <v>660</v>
      </c>
      <c r="X383" s="78" t="s">
        <v>660</v>
      </c>
    </row>
    <row r="384" spans="1:24">
      <c r="A384" s="28" t="s">
        <v>689</v>
      </c>
      <c r="B384" s="29" t="s">
        <v>689</v>
      </c>
      <c r="C384" s="2" t="s">
        <v>803</v>
      </c>
      <c r="D384" s="2" t="s">
        <v>23</v>
      </c>
      <c r="E384" s="27" t="s">
        <v>660</v>
      </c>
      <c r="F384" s="13" t="s">
        <v>660</v>
      </c>
      <c r="G384" s="2" t="s">
        <v>7</v>
      </c>
      <c r="H384" s="2" t="s">
        <v>695</v>
      </c>
      <c r="I384" s="10" t="s">
        <v>78</v>
      </c>
      <c r="J384" s="14" t="s">
        <v>692</v>
      </c>
      <c r="K384" s="15" t="s">
        <v>80</v>
      </c>
      <c r="L384" s="14" t="s">
        <v>693</v>
      </c>
      <c r="M384" s="80" t="s">
        <v>660</v>
      </c>
      <c r="N384" s="77" t="s">
        <v>660</v>
      </c>
      <c r="O384" s="77" t="s">
        <v>660</v>
      </c>
      <c r="P384" s="77" t="s">
        <v>660</v>
      </c>
      <c r="Q384" s="77" t="s">
        <v>660</v>
      </c>
      <c r="R384" s="77" t="s">
        <v>660</v>
      </c>
      <c r="S384" s="77" t="s">
        <v>660</v>
      </c>
      <c r="T384" s="77" t="s">
        <v>660</v>
      </c>
      <c r="U384" s="77" t="s">
        <v>660</v>
      </c>
      <c r="V384" s="77" t="s">
        <v>660</v>
      </c>
      <c r="W384" s="77" t="s">
        <v>660</v>
      </c>
      <c r="X384" s="78" t="s">
        <v>660</v>
      </c>
    </row>
    <row r="385" spans="1:24">
      <c r="A385" s="28" t="s">
        <v>689</v>
      </c>
      <c r="B385" s="29" t="s">
        <v>689</v>
      </c>
      <c r="C385" s="2" t="s">
        <v>804</v>
      </c>
      <c r="D385" s="2" t="s">
        <v>729</v>
      </c>
      <c r="E385" s="27" t="s">
        <v>660</v>
      </c>
      <c r="F385" s="13" t="s">
        <v>660</v>
      </c>
      <c r="G385" s="2" t="s">
        <v>8</v>
      </c>
      <c r="H385" s="2" t="s">
        <v>691</v>
      </c>
      <c r="I385" s="10" t="s">
        <v>78</v>
      </c>
      <c r="J385" s="14" t="s">
        <v>692</v>
      </c>
      <c r="K385" s="15" t="s">
        <v>80</v>
      </c>
      <c r="L385" s="14" t="s">
        <v>693</v>
      </c>
      <c r="M385" s="80" t="s">
        <v>660</v>
      </c>
      <c r="N385" s="77" t="s">
        <v>660</v>
      </c>
      <c r="O385" s="77" t="s">
        <v>660</v>
      </c>
      <c r="P385" s="77" t="s">
        <v>660</v>
      </c>
      <c r="Q385" s="77" t="s">
        <v>660</v>
      </c>
      <c r="R385" s="77" t="s">
        <v>660</v>
      </c>
      <c r="S385" s="77" t="s">
        <v>660</v>
      </c>
      <c r="T385" s="77" t="s">
        <v>660</v>
      </c>
      <c r="U385" s="77" t="s">
        <v>660</v>
      </c>
      <c r="V385" s="77" t="s">
        <v>660</v>
      </c>
      <c r="W385" s="77" t="s">
        <v>660</v>
      </c>
      <c r="X385" s="78" t="s">
        <v>660</v>
      </c>
    </row>
    <row r="386" spans="1:24">
      <c r="A386" s="28" t="s">
        <v>689</v>
      </c>
      <c r="B386" s="29" t="s">
        <v>689</v>
      </c>
      <c r="C386" s="2" t="s">
        <v>805</v>
      </c>
      <c r="D386" s="2" t="s">
        <v>18</v>
      </c>
      <c r="E386" s="27" t="s">
        <v>660</v>
      </c>
      <c r="F386" s="13" t="s">
        <v>660</v>
      </c>
      <c r="G386" s="2" t="s">
        <v>8</v>
      </c>
      <c r="H386" s="2" t="s">
        <v>179</v>
      </c>
      <c r="I386" s="10" t="s">
        <v>78</v>
      </c>
      <c r="J386" s="14" t="s">
        <v>692</v>
      </c>
      <c r="K386" s="15" t="s">
        <v>80</v>
      </c>
      <c r="L386" s="14" t="s">
        <v>693</v>
      </c>
      <c r="M386" s="80" t="s">
        <v>660</v>
      </c>
      <c r="N386" s="77" t="s">
        <v>660</v>
      </c>
      <c r="O386" s="77" t="s">
        <v>660</v>
      </c>
      <c r="P386" s="77" t="s">
        <v>660</v>
      </c>
      <c r="Q386" s="77" t="s">
        <v>660</v>
      </c>
      <c r="R386" s="77" t="s">
        <v>660</v>
      </c>
      <c r="S386" s="77" t="s">
        <v>660</v>
      </c>
      <c r="T386" s="77" t="s">
        <v>660</v>
      </c>
      <c r="U386" s="77" t="s">
        <v>660</v>
      </c>
      <c r="V386" s="77" t="s">
        <v>660</v>
      </c>
      <c r="W386" s="77" t="s">
        <v>660</v>
      </c>
      <c r="X386" s="78" t="s">
        <v>660</v>
      </c>
    </row>
    <row r="387" spans="1:24">
      <c r="A387" s="28" t="s">
        <v>689</v>
      </c>
      <c r="B387" s="29" t="s">
        <v>689</v>
      </c>
      <c r="C387" s="2" t="s">
        <v>806</v>
      </c>
      <c r="D387" s="2" t="s">
        <v>16</v>
      </c>
      <c r="E387" s="27" t="s">
        <v>660</v>
      </c>
      <c r="F387" s="13" t="s">
        <v>660</v>
      </c>
      <c r="G387" s="2" t="s">
        <v>8</v>
      </c>
      <c r="H387" s="2" t="s">
        <v>691</v>
      </c>
      <c r="I387" s="10" t="s">
        <v>78</v>
      </c>
      <c r="J387" s="14" t="s">
        <v>692</v>
      </c>
      <c r="K387" s="15" t="s">
        <v>80</v>
      </c>
      <c r="L387" s="14" t="s">
        <v>693</v>
      </c>
      <c r="M387" s="80" t="s">
        <v>660</v>
      </c>
      <c r="N387" s="77" t="s">
        <v>660</v>
      </c>
      <c r="O387" s="77" t="s">
        <v>660</v>
      </c>
      <c r="P387" s="77" t="s">
        <v>660</v>
      </c>
      <c r="Q387" s="77" t="s">
        <v>660</v>
      </c>
      <c r="R387" s="77" t="s">
        <v>660</v>
      </c>
      <c r="S387" s="77" t="s">
        <v>660</v>
      </c>
      <c r="T387" s="77" t="s">
        <v>660</v>
      </c>
      <c r="U387" s="77" t="s">
        <v>660</v>
      </c>
      <c r="V387" s="77" t="s">
        <v>660</v>
      </c>
      <c r="W387" s="77" t="s">
        <v>660</v>
      </c>
      <c r="X387" s="78" t="s">
        <v>660</v>
      </c>
    </row>
    <row r="388" spans="1:24">
      <c r="A388" s="28" t="s">
        <v>689</v>
      </c>
      <c r="B388" s="29" t="s">
        <v>689</v>
      </c>
      <c r="C388" s="2" t="s">
        <v>807</v>
      </c>
      <c r="D388" s="2" t="s">
        <v>18</v>
      </c>
      <c r="E388" s="27" t="s">
        <v>660</v>
      </c>
      <c r="F388" s="27" t="s">
        <v>660</v>
      </c>
      <c r="G388" s="2" t="s">
        <v>8</v>
      </c>
      <c r="H388" s="2">
        <v>46</v>
      </c>
      <c r="I388" s="10" t="s">
        <v>78</v>
      </c>
      <c r="J388" s="14" t="s">
        <v>692</v>
      </c>
      <c r="K388" s="15" t="s">
        <v>80</v>
      </c>
      <c r="L388" s="14" t="s">
        <v>693</v>
      </c>
      <c r="M388" s="80" t="s">
        <v>660</v>
      </c>
      <c r="N388" s="77" t="s">
        <v>660</v>
      </c>
      <c r="O388" s="77" t="s">
        <v>660</v>
      </c>
      <c r="P388" s="77" t="s">
        <v>660</v>
      </c>
      <c r="Q388" s="77" t="s">
        <v>660</v>
      </c>
      <c r="R388" s="77" t="s">
        <v>660</v>
      </c>
      <c r="S388" s="77" t="s">
        <v>660</v>
      </c>
      <c r="T388" s="77" t="s">
        <v>660</v>
      </c>
      <c r="U388" s="77" t="s">
        <v>660</v>
      </c>
      <c r="V388" s="77" t="s">
        <v>660</v>
      </c>
      <c r="W388" s="77" t="s">
        <v>660</v>
      </c>
      <c r="X388" s="78" t="s">
        <v>660</v>
      </c>
    </row>
    <row r="389" spans="1:24">
      <c r="A389" s="26" t="s">
        <v>689</v>
      </c>
      <c r="B389" s="26" t="s">
        <v>689</v>
      </c>
      <c r="C389" s="26" t="s">
        <v>808</v>
      </c>
      <c r="D389" s="26" t="s">
        <v>15</v>
      </c>
      <c r="E389" s="26" t="s">
        <v>660</v>
      </c>
      <c r="F389" s="26" t="s">
        <v>660</v>
      </c>
      <c r="G389" s="26" t="s">
        <v>7</v>
      </c>
      <c r="H389" s="26" t="s">
        <v>695</v>
      </c>
      <c r="I389" s="26" t="s">
        <v>78</v>
      </c>
      <c r="J389" s="31" t="s">
        <v>808</v>
      </c>
      <c r="K389" s="31" t="s">
        <v>80</v>
      </c>
      <c r="L389" s="31" t="s">
        <v>693</v>
      </c>
      <c r="M389" s="80" t="s">
        <v>660</v>
      </c>
      <c r="N389" s="77" t="s">
        <v>660</v>
      </c>
      <c r="O389" s="77" t="s">
        <v>660</v>
      </c>
      <c r="P389" s="77" t="s">
        <v>660</v>
      </c>
      <c r="Q389" s="77" t="s">
        <v>660</v>
      </c>
      <c r="R389" s="77" t="s">
        <v>660</v>
      </c>
      <c r="S389" s="77" t="s">
        <v>660</v>
      </c>
      <c r="T389" s="77" t="s">
        <v>660</v>
      </c>
      <c r="U389" s="77" t="s">
        <v>660</v>
      </c>
      <c r="V389" s="77" t="s">
        <v>660</v>
      </c>
      <c r="W389" s="77" t="s">
        <v>660</v>
      </c>
      <c r="X389" s="78" t="s">
        <v>660</v>
      </c>
    </row>
    <row r="390" spans="1:24">
      <c r="A390" s="26" t="s">
        <v>689</v>
      </c>
      <c r="B390" s="26" t="s">
        <v>689</v>
      </c>
      <c r="C390" s="26" t="s">
        <v>809</v>
      </c>
      <c r="D390" s="26" t="s">
        <v>15</v>
      </c>
      <c r="E390" s="26" t="s">
        <v>660</v>
      </c>
      <c r="F390" s="26" t="s">
        <v>660</v>
      </c>
      <c r="G390" s="26" t="s">
        <v>7</v>
      </c>
      <c r="H390" s="26">
        <v>46</v>
      </c>
      <c r="I390" s="26" t="s">
        <v>78</v>
      </c>
      <c r="J390" s="31" t="s">
        <v>810</v>
      </c>
      <c r="K390" s="31" t="s">
        <v>80</v>
      </c>
      <c r="L390" s="31" t="s">
        <v>693</v>
      </c>
      <c r="M390" s="80" t="s">
        <v>660</v>
      </c>
      <c r="N390" s="77" t="s">
        <v>660</v>
      </c>
      <c r="O390" s="77" t="s">
        <v>660</v>
      </c>
      <c r="P390" s="77" t="s">
        <v>660</v>
      </c>
      <c r="Q390" s="77" t="s">
        <v>660</v>
      </c>
      <c r="R390" s="77" t="s">
        <v>660</v>
      </c>
      <c r="S390" s="77" t="s">
        <v>660</v>
      </c>
      <c r="T390" s="77" t="s">
        <v>660</v>
      </c>
      <c r="U390" s="77" t="s">
        <v>660</v>
      </c>
      <c r="V390" s="77" t="s">
        <v>660</v>
      </c>
      <c r="W390" s="77" t="s">
        <v>660</v>
      </c>
      <c r="X390" s="78" t="s">
        <v>660</v>
      </c>
    </row>
  </sheetData>
  <conditionalFormatting sqref="C282:C388">
    <cfRule type="duplicateValues" dxfId="13" priority="1"/>
    <cfRule type="duplicateValues" dxfId="12" priority="2"/>
  </conditionalFormatting>
  <conditionalFormatting sqref="C391:C1048576 C1:C281">
    <cfRule type="duplicateValues" dxfId="11" priority="3"/>
  </conditionalFormatting>
  <conditionalFormatting sqref="K1:K388 K391:K1048576">
    <cfRule type="cellIs" dxfId="10" priority="5" operator="equal">
      <formula>"Not Registered"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C97C5-FDFE-4460-A7DB-CCDE69A381D1}">
  <dimension ref="A3:B16"/>
  <sheetViews>
    <sheetView topLeftCell="A3" zoomScale="183" workbookViewId="0">
      <selection activeCell="M1" sqref="M1"/>
    </sheetView>
  </sheetViews>
  <sheetFormatPr baseColWidth="10" defaultColWidth="8.83203125" defaultRowHeight="14"/>
  <cols>
    <col min="1" max="1" width="12.6640625" bestFit="1" customWidth="1"/>
    <col min="2" max="2" width="21" bestFit="1" customWidth="1"/>
  </cols>
  <sheetData>
    <row r="3" spans="1:2">
      <c r="A3" s="66" t="s">
        <v>11</v>
      </c>
      <c r="B3" t="s">
        <v>811</v>
      </c>
    </row>
    <row r="4" spans="1:2">
      <c r="A4" s="67" t="s">
        <v>14</v>
      </c>
      <c r="B4">
        <v>18</v>
      </c>
    </row>
    <row r="5" spans="1:2">
      <c r="A5" s="67" t="s">
        <v>15</v>
      </c>
      <c r="B5">
        <v>80</v>
      </c>
    </row>
    <row r="6" spans="1:2">
      <c r="A6" s="67" t="s">
        <v>16</v>
      </c>
      <c r="B6">
        <v>148</v>
      </c>
    </row>
    <row r="7" spans="1:2">
      <c r="A7" s="67" t="s">
        <v>17</v>
      </c>
      <c r="B7">
        <v>4</v>
      </c>
    </row>
    <row r="8" spans="1:2">
      <c r="A8" s="67" t="s">
        <v>18</v>
      </c>
      <c r="B8">
        <v>62</v>
      </c>
    </row>
    <row r="9" spans="1:2">
      <c r="A9" s="67" t="s">
        <v>19</v>
      </c>
      <c r="B9">
        <v>88</v>
      </c>
    </row>
    <row r="10" spans="1:2">
      <c r="A10" s="67" t="s">
        <v>20</v>
      </c>
      <c r="B10">
        <v>101</v>
      </c>
    </row>
    <row r="11" spans="1:2">
      <c r="A11" s="67" t="s">
        <v>21</v>
      </c>
      <c r="B11">
        <v>15</v>
      </c>
    </row>
    <row r="12" spans="1:2">
      <c r="A12" s="67" t="s">
        <v>22</v>
      </c>
      <c r="B12">
        <v>1</v>
      </c>
    </row>
    <row r="13" spans="1:2">
      <c r="A13" s="67" t="s">
        <v>23</v>
      </c>
      <c r="B13">
        <v>125</v>
      </c>
    </row>
    <row r="14" spans="1:2">
      <c r="A14" s="67" t="s">
        <v>24</v>
      </c>
      <c r="B14">
        <v>19</v>
      </c>
    </row>
    <row r="15" spans="1:2">
      <c r="A15" s="67" t="s">
        <v>25</v>
      </c>
      <c r="B15">
        <v>5</v>
      </c>
    </row>
    <row r="16" spans="1:2">
      <c r="A16" s="67" t="s">
        <v>13</v>
      </c>
      <c r="B16">
        <v>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1B79-FF20-4E56-92AB-04C68958BC5C}">
  <dimension ref="A2:E31"/>
  <sheetViews>
    <sheetView topLeftCell="C1" zoomScale="127" workbookViewId="0">
      <selection activeCell="G3" sqref="G3:K18"/>
    </sheetView>
  </sheetViews>
  <sheetFormatPr baseColWidth="10" defaultColWidth="8.83203125" defaultRowHeight="14"/>
  <cols>
    <col min="1" max="1" width="33.6640625" bestFit="1" customWidth="1"/>
    <col min="2" max="2" width="15.5" style="24" bestFit="1" customWidth="1"/>
    <col min="3" max="3" width="13.33203125" style="24" customWidth="1"/>
    <col min="4" max="4" width="9.83203125" style="24" bestFit="1" customWidth="1"/>
    <col min="5" max="5" width="10.6640625" style="24" bestFit="1" customWidth="1"/>
    <col min="7" max="7" width="19.1640625" bestFit="1" customWidth="1"/>
    <col min="8" max="8" width="15.5" bestFit="1" customWidth="1"/>
    <col min="9" max="9" width="3.6640625" bestFit="1" customWidth="1"/>
    <col min="10" max="10" width="6.5" bestFit="1" customWidth="1"/>
    <col min="11" max="11" width="10.6640625" bestFit="1" customWidth="1"/>
    <col min="12" max="12" width="9.83203125" bestFit="1" customWidth="1"/>
    <col min="13" max="13" width="19.33203125" bestFit="1" customWidth="1"/>
    <col min="14" max="14" width="30.6640625" bestFit="1" customWidth="1"/>
    <col min="15" max="15" width="33.6640625" bestFit="1" customWidth="1"/>
    <col min="16" max="16" width="20.1640625" bestFit="1" customWidth="1"/>
    <col min="17" max="17" width="23.1640625" bestFit="1" customWidth="1"/>
    <col min="18" max="18" width="10.6640625" bestFit="1" customWidth="1"/>
  </cols>
  <sheetData>
    <row r="2" spans="1:5" ht="14" customHeight="1">
      <c r="A2" s="108" t="s">
        <v>812</v>
      </c>
      <c r="B2" s="108" t="s">
        <v>813</v>
      </c>
      <c r="C2" s="108"/>
      <c r="D2" s="108"/>
      <c r="E2" s="108"/>
    </row>
    <row r="3" spans="1:5" ht="14" customHeight="1">
      <c r="A3" s="108"/>
      <c r="B3" s="111">
        <v>255</v>
      </c>
      <c r="C3" s="111"/>
      <c r="D3" s="111"/>
      <c r="E3" s="111"/>
    </row>
    <row r="4" spans="1:5" ht="14" customHeight="1">
      <c r="A4" s="108"/>
      <c r="B4" s="22" t="s">
        <v>80</v>
      </c>
      <c r="C4" s="22" t="s">
        <v>814</v>
      </c>
      <c r="D4" s="106" t="s">
        <v>815</v>
      </c>
      <c r="E4" s="106"/>
    </row>
    <row r="5" spans="1:5" ht="14" customHeight="1">
      <c r="A5" s="108"/>
      <c r="B5" s="20">
        <v>232</v>
      </c>
      <c r="C5" s="20">
        <f>B3-B5</f>
        <v>23</v>
      </c>
      <c r="D5" s="107">
        <v>201</v>
      </c>
      <c r="E5" s="107"/>
    </row>
    <row r="6" spans="1:5">
      <c r="A6" s="108"/>
      <c r="B6" s="108" t="s">
        <v>815</v>
      </c>
      <c r="C6" s="108"/>
      <c r="D6" s="108"/>
      <c r="E6" s="108"/>
    </row>
    <row r="7" spans="1:5" ht="14" customHeight="1">
      <c r="A7" s="108"/>
      <c r="B7" s="107">
        <v>201</v>
      </c>
      <c r="C7" s="107"/>
      <c r="D7" s="107"/>
      <c r="E7" s="107"/>
    </row>
    <row r="8" spans="1:5" ht="30">
      <c r="A8" s="108"/>
      <c r="B8" s="25" t="s">
        <v>816</v>
      </c>
      <c r="C8" s="25" t="s">
        <v>817</v>
      </c>
      <c r="D8" s="25" t="s">
        <v>818</v>
      </c>
      <c r="E8" s="25" t="s">
        <v>819</v>
      </c>
    </row>
    <row r="9" spans="1:5">
      <c r="A9" s="108"/>
      <c r="B9" s="23">
        <v>91</v>
      </c>
      <c r="C9" s="23">
        <v>108</v>
      </c>
      <c r="D9" s="23">
        <v>1</v>
      </c>
      <c r="E9" s="23">
        <v>1</v>
      </c>
    </row>
    <row r="10" spans="1:5">
      <c r="D10" s="30"/>
      <c r="E10" s="30"/>
    </row>
    <row r="11" spans="1:5">
      <c r="A11" s="109" t="s">
        <v>820</v>
      </c>
      <c r="B11" s="109" t="s">
        <v>815</v>
      </c>
      <c r="C11" s="109"/>
      <c r="D11" s="109"/>
      <c r="E11" s="109"/>
    </row>
    <row r="12" spans="1:5">
      <c r="A12" s="109"/>
      <c r="B12" s="110">
        <v>280</v>
      </c>
      <c r="C12" s="110"/>
      <c r="D12" s="110"/>
      <c r="E12" s="110"/>
    </row>
    <row r="13" spans="1:5">
      <c r="A13" s="109"/>
      <c r="B13" s="19" t="s">
        <v>80</v>
      </c>
      <c r="C13" s="19" t="s">
        <v>86</v>
      </c>
      <c r="D13" s="19" t="s">
        <v>814</v>
      </c>
    </row>
    <row r="14" spans="1:5">
      <c r="A14" s="109"/>
      <c r="B14" s="20">
        <v>91</v>
      </c>
      <c r="C14" s="20">
        <v>187</v>
      </c>
      <c r="D14" s="20">
        <v>2</v>
      </c>
    </row>
    <row r="17" spans="1:5">
      <c r="A17" s="33" t="s">
        <v>821</v>
      </c>
      <c r="B17" s="33" t="s">
        <v>10</v>
      </c>
      <c r="C17" s="32"/>
      <c r="D17" s="32"/>
      <c r="E17" s="32"/>
    </row>
    <row r="18" spans="1:5">
      <c r="A18" s="33" t="s">
        <v>11</v>
      </c>
      <c r="B18" s="32" t="s">
        <v>535</v>
      </c>
      <c r="C18" s="32" t="s">
        <v>86</v>
      </c>
      <c r="D18" s="32" t="s">
        <v>80</v>
      </c>
      <c r="E18" s="32" t="s">
        <v>13</v>
      </c>
    </row>
    <row r="19" spans="1:5">
      <c r="A19" s="32" t="s">
        <v>693</v>
      </c>
      <c r="B19" s="32"/>
      <c r="C19" s="32"/>
      <c r="D19" s="32">
        <v>109</v>
      </c>
      <c r="E19" s="32">
        <v>109</v>
      </c>
    </row>
    <row r="20" spans="1:5">
      <c r="A20" s="32" t="s">
        <v>536</v>
      </c>
      <c r="B20" s="32">
        <v>2</v>
      </c>
      <c r="C20" s="32"/>
      <c r="D20" s="32"/>
      <c r="E20" s="32">
        <v>2</v>
      </c>
    </row>
    <row r="21" spans="1:5">
      <c r="A21" s="32" t="s">
        <v>81</v>
      </c>
      <c r="B21" s="32"/>
      <c r="C21" s="32"/>
      <c r="D21" s="32">
        <v>91</v>
      </c>
      <c r="E21" s="32">
        <v>91</v>
      </c>
    </row>
    <row r="22" spans="1:5">
      <c r="A22" s="32" t="s">
        <v>87</v>
      </c>
      <c r="B22" s="32"/>
      <c r="C22" s="32">
        <v>187</v>
      </c>
      <c r="D22" s="32"/>
      <c r="E22" s="32">
        <v>187</v>
      </c>
    </row>
    <row r="23" spans="1:5">
      <c r="A23" s="32" t="s">
        <v>13</v>
      </c>
      <c r="B23" s="32">
        <v>2</v>
      </c>
      <c r="C23" s="32">
        <v>187</v>
      </c>
      <c r="D23" s="32">
        <v>200</v>
      </c>
      <c r="E23" s="32">
        <v>389</v>
      </c>
    </row>
    <row r="24" spans="1:5">
      <c r="B24"/>
      <c r="C24"/>
      <c r="D24"/>
      <c r="E24"/>
    </row>
    <row r="25" spans="1:5">
      <c r="A25" s="33" t="s">
        <v>821</v>
      </c>
      <c r="B25" s="33" t="s">
        <v>10</v>
      </c>
      <c r="C25" s="32"/>
      <c r="D25" s="32"/>
      <c r="E25" s="32"/>
    </row>
    <row r="26" spans="1:5">
      <c r="A26" s="33" t="s">
        <v>11</v>
      </c>
      <c r="B26" s="32" t="s">
        <v>535</v>
      </c>
      <c r="C26" s="32" t="s">
        <v>86</v>
      </c>
      <c r="D26" s="32" t="s">
        <v>80</v>
      </c>
      <c r="E26" s="32" t="s">
        <v>13</v>
      </c>
    </row>
    <row r="27" spans="1:5">
      <c r="A27" s="32" t="s">
        <v>693</v>
      </c>
      <c r="B27" s="32"/>
      <c r="C27" s="32"/>
      <c r="D27" s="32">
        <v>109</v>
      </c>
      <c r="E27" s="32">
        <v>109</v>
      </c>
    </row>
    <row r="28" spans="1:5">
      <c r="A28" s="32" t="s">
        <v>536</v>
      </c>
      <c r="B28" s="32">
        <v>2</v>
      </c>
      <c r="C28" s="32"/>
      <c r="D28" s="32"/>
      <c r="E28" s="32">
        <v>2</v>
      </c>
    </row>
    <row r="29" spans="1:5">
      <c r="A29" s="32" t="s">
        <v>81</v>
      </c>
      <c r="B29" s="32"/>
      <c r="C29" s="32"/>
      <c r="D29" s="32">
        <v>91</v>
      </c>
      <c r="E29" s="32">
        <v>91</v>
      </c>
    </row>
    <row r="30" spans="1:5">
      <c r="A30" s="32" t="s">
        <v>87</v>
      </c>
      <c r="B30" s="32"/>
      <c r="C30" s="32">
        <v>187</v>
      </c>
      <c r="D30" s="32"/>
      <c r="E30" s="32">
        <v>187</v>
      </c>
    </row>
    <row r="31" spans="1:5">
      <c r="A31" s="32" t="s">
        <v>13</v>
      </c>
      <c r="B31" s="32">
        <v>2</v>
      </c>
      <c r="C31" s="32">
        <v>187</v>
      </c>
      <c r="D31" s="32">
        <v>200</v>
      </c>
      <c r="E31" s="32">
        <v>389</v>
      </c>
    </row>
  </sheetData>
  <mergeCells count="10">
    <mergeCell ref="D4:E4"/>
    <mergeCell ref="D5:E5"/>
    <mergeCell ref="A2:A9"/>
    <mergeCell ref="B11:E11"/>
    <mergeCell ref="B12:E12"/>
    <mergeCell ref="B6:E6"/>
    <mergeCell ref="B2:E2"/>
    <mergeCell ref="B3:E3"/>
    <mergeCell ref="B7:E7"/>
    <mergeCell ref="A11:A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7129-26EE-4046-A803-736075EC3C4F}">
  <sheetPr>
    <tabColor rgb="FFFF0000"/>
  </sheetPr>
  <dimension ref="B2:K324"/>
  <sheetViews>
    <sheetView zoomScale="70" zoomScaleNormal="70" workbookViewId="0">
      <selection activeCell="C9" sqref="C9"/>
    </sheetView>
  </sheetViews>
  <sheetFormatPr baseColWidth="10" defaultColWidth="10.33203125" defaultRowHeight="15"/>
  <cols>
    <col min="1" max="1" width="4.6640625" style="35" customWidth="1"/>
    <col min="2" max="2" width="10.33203125" style="35"/>
    <col min="3" max="3" width="50" style="35" customWidth="1"/>
    <col min="4" max="4" width="35" style="35" customWidth="1"/>
    <col min="5" max="5" width="36.33203125" style="35" customWidth="1"/>
    <col min="6" max="6" width="31.1640625" style="35" customWidth="1"/>
    <col min="7" max="8" width="23" style="35" bestFit="1" customWidth="1"/>
    <col min="9" max="9" width="60.6640625" style="35" bestFit="1" customWidth="1"/>
    <col min="10" max="10" width="10.33203125" style="35"/>
    <col min="11" max="11" width="15.83203125" style="35" customWidth="1"/>
    <col min="12" max="16384" width="10.33203125" style="35"/>
  </cols>
  <sheetData>
    <row r="2" spans="2:11" ht="17">
      <c r="B2" s="34" t="s">
        <v>822</v>
      </c>
    </row>
    <row r="3" spans="2:11">
      <c r="B3" s="36" t="s">
        <v>823</v>
      </c>
      <c r="C3" s="37" t="s">
        <v>52</v>
      </c>
      <c r="D3" s="38" t="s">
        <v>824</v>
      </c>
      <c r="E3" s="38" t="s">
        <v>825</v>
      </c>
      <c r="F3" s="38" t="s">
        <v>826</v>
      </c>
      <c r="G3" s="38" t="s">
        <v>827</v>
      </c>
      <c r="H3" s="38" t="s">
        <v>828</v>
      </c>
      <c r="I3" s="38" t="s">
        <v>829</v>
      </c>
      <c r="J3" s="39" t="s">
        <v>830</v>
      </c>
      <c r="K3" s="40" t="s">
        <v>831</v>
      </c>
    </row>
    <row r="4" spans="2:11">
      <c r="B4" s="41" t="s">
        <v>832</v>
      </c>
      <c r="C4" s="42" t="s">
        <v>833</v>
      </c>
      <c r="D4" s="43" t="s">
        <v>834</v>
      </c>
      <c r="E4" s="43" t="s">
        <v>835</v>
      </c>
      <c r="F4" s="43" t="s">
        <v>836</v>
      </c>
      <c r="G4" s="44" t="s">
        <v>837</v>
      </c>
      <c r="H4" s="44" t="s">
        <v>838</v>
      </c>
      <c r="I4" s="45" t="s">
        <v>839</v>
      </c>
      <c r="J4" s="46"/>
    </row>
    <row r="5" spans="2:11">
      <c r="B5" s="41" t="s">
        <v>840</v>
      </c>
      <c r="C5" s="42" t="s">
        <v>833</v>
      </c>
      <c r="D5" s="43" t="s">
        <v>841</v>
      </c>
      <c r="E5" s="43" t="s">
        <v>842</v>
      </c>
      <c r="F5" s="43" t="s">
        <v>836</v>
      </c>
      <c r="G5" s="44" t="s">
        <v>843</v>
      </c>
      <c r="H5" s="44" t="s">
        <v>844</v>
      </c>
      <c r="I5" s="45" t="s">
        <v>845</v>
      </c>
      <c r="J5" s="46"/>
    </row>
    <row r="6" spans="2:11">
      <c r="B6" s="47" t="s">
        <v>846</v>
      </c>
      <c r="C6" s="48" t="s">
        <v>833</v>
      </c>
      <c r="D6" s="49" t="s">
        <v>847</v>
      </c>
      <c r="E6" s="49" t="s">
        <v>848</v>
      </c>
      <c r="F6" s="49" t="s">
        <v>849</v>
      </c>
      <c r="G6" s="50" t="s">
        <v>850</v>
      </c>
      <c r="H6" s="44" t="s">
        <v>851</v>
      </c>
      <c r="I6" s="45" t="s">
        <v>852</v>
      </c>
      <c r="J6" s="51"/>
    </row>
    <row r="7" spans="2:11">
      <c r="B7" s="41" t="s">
        <v>853</v>
      </c>
      <c r="C7" s="42" t="s">
        <v>833</v>
      </c>
      <c r="D7" s="43" t="s">
        <v>854</v>
      </c>
      <c r="E7" s="43" t="s">
        <v>855</v>
      </c>
      <c r="F7" s="43" t="s">
        <v>836</v>
      </c>
      <c r="G7" s="44" t="s">
        <v>856</v>
      </c>
      <c r="H7" s="43" t="s">
        <v>49</v>
      </c>
      <c r="I7" s="45" t="s">
        <v>857</v>
      </c>
      <c r="J7" s="46"/>
    </row>
    <row r="8" spans="2:11">
      <c r="B8" s="41" t="s">
        <v>858</v>
      </c>
      <c r="C8" s="48" t="s">
        <v>859</v>
      </c>
      <c r="D8" s="49" t="s">
        <v>860</v>
      </c>
      <c r="E8" s="49" t="s">
        <v>861</v>
      </c>
      <c r="F8" s="49" t="s">
        <v>849</v>
      </c>
      <c r="G8" s="50" t="s">
        <v>862</v>
      </c>
      <c r="H8" s="43" t="s">
        <v>49</v>
      </c>
      <c r="I8" s="43" t="s">
        <v>863</v>
      </c>
      <c r="J8" s="51"/>
    </row>
    <row r="9" spans="2:11">
      <c r="B9" s="41" t="s">
        <v>864</v>
      </c>
      <c r="C9" s="42" t="s">
        <v>865</v>
      </c>
      <c r="D9" s="43" t="s">
        <v>866</v>
      </c>
      <c r="E9" s="43" t="s">
        <v>768</v>
      </c>
      <c r="F9" s="43" t="s">
        <v>836</v>
      </c>
      <c r="G9" s="44" t="s">
        <v>867</v>
      </c>
      <c r="H9" s="43" t="s">
        <v>49</v>
      </c>
      <c r="I9" s="43" t="s">
        <v>868</v>
      </c>
      <c r="J9" s="46"/>
    </row>
    <row r="10" spans="2:11">
      <c r="B10" s="41" t="s">
        <v>869</v>
      </c>
      <c r="C10" s="42" t="s">
        <v>865</v>
      </c>
      <c r="D10" s="43" t="s">
        <v>870</v>
      </c>
      <c r="E10" s="43" t="s">
        <v>871</v>
      </c>
      <c r="F10" s="43" t="s">
        <v>836</v>
      </c>
      <c r="G10" s="44" t="s">
        <v>872</v>
      </c>
      <c r="H10" s="44" t="s">
        <v>873</v>
      </c>
      <c r="I10" s="43" t="s">
        <v>874</v>
      </c>
      <c r="J10" s="46"/>
    </row>
    <row r="11" spans="2:11">
      <c r="B11" s="41" t="s">
        <v>875</v>
      </c>
      <c r="C11" s="48" t="s">
        <v>865</v>
      </c>
      <c r="D11" s="49" t="s">
        <v>876</v>
      </c>
      <c r="E11" s="49" t="s">
        <v>877</v>
      </c>
      <c r="F11" s="49" t="s">
        <v>849</v>
      </c>
      <c r="G11" s="49" t="s">
        <v>878</v>
      </c>
      <c r="H11" s="43" t="s">
        <v>49</v>
      </c>
      <c r="I11" s="43" t="s">
        <v>879</v>
      </c>
      <c r="J11" s="51"/>
    </row>
    <row r="12" spans="2:11">
      <c r="B12" s="41" t="s">
        <v>880</v>
      </c>
      <c r="C12" s="42" t="s">
        <v>865</v>
      </c>
      <c r="D12" s="43" t="s">
        <v>881</v>
      </c>
      <c r="E12" s="43" t="s">
        <v>882</v>
      </c>
      <c r="F12" s="43" t="s">
        <v>836</v>
      </c>
      <c r="G12" s="44" t="s">
        <v>883</v>
      </c>
      <c r="H12" s="44" t="s">
        <v>884</v>
      </c>
      <c r="I12" s="43" t="s">
        <v>885</v>
      </c>
      <c r="J12" s="46"/>
    </row>
    <row r="13" spans="2:11">
      <c r="B13" s="41" t="s">
        <v>886</v>
      </c>
      <c r="C13" s="42" t="s">
        <v>865</v>
      </c>
      <c r="D13" s="43" t="s">
        <v>887</v>
      </c>
      <c r="E13" s="43" t="s">
        <v>888</v>
      </c>
      <c r="F13" s="43" t="s">
        <v>836</v>
      </c>
      <c r="G13" s="44" t="s">
        <v>889</v>
      </c>
      <c r="H13" s="44" t="s">
        <v>890</v>
      </c>
      <c r="I13" s="43" t="s">
        <v>891</v>
      </c>
      <c r="J13" s="46"/>
    </row>
    <row r="14" spans="2:11">
      <c r="B14" s="41" t="s">
        <v>892</v>
      </c>
      <c r="C14" s="48" t="s">
        <v>865</v>
      </c>
      <c r="D14" s="49" t="s">
        <v>893</v>
      </c>
      <c r="E14" s="49" t="s">
        <v>894</v>
      </c>
      <c r="F14" s="49" t="s">
        <v>849</v>
      </c>
      <c r="G14" s="49" t="s">
        <v>895</v>
      </c>
      <c r="H14" s="43" t="s">
        <v>896</v>
      </c>
      <c r="I14" s="43" t="s">
        <v>897</v>
      </c>
      <c r="J14" s="51"/>
    </row>
    <row r="15" spans="2:11">
      <c r="B15" s="41" t="s">
        <v>898</v>
      </c>
      <c r="C15" s="42" t="s">
        <v>865</v>
      </c>
      <c r="D15" s="43" t="s">
        <v>899</v>
      </c>
      <c r="E15" s="43" t="s">
        <v>900</v>
      </c>
      <c r="F15" s="43" t="s">
        <v>836</v>
      </c>
      <c r="G15" s="43" t="s">
        <v>901</v>
      </c>
      <c r="H15" s="43" t="s">
        <v>902</v>
      </c>
      <c r="I15" s="43" t="s">
        <v>903</v>
      </c>
      <c r="J15" s="46"/>
    </row>
    <row r="16" spans="2:11">
      <c r="B16" s="41" t="s">
        <v>904</v>
      </c>
      <c r="C16" s="42" t="s">
        <v>865</v>
      </c>
      <c r="D16" s="43" t="s">
        <v>905</v>
      </c>
      <c r="E16" s="43" t="s">
        <v>906</v>
      </c>
      <c r="F16" s="43" t="s">
        <v>836</v>
      </c>
      <c r="G16" s="43" t="s">
        <v>907</v>
      </c>
      <c r="H16" s="43" t="s">
        <v>908</v>
      </c>
      <c r="I16" s="43" t="s">
        <v>909</v>
      </c>
      <c r="J16" s="46"/>
    </row>
    <row r="17" spans="2:10">
      <c r="B17" s="41" t="s">
        <v>910</v>
      </c>
      <c r="C17" s="42" t="s">
        <v>859</v>
      </c>
      <c r="D17" s="43" t="s">
        <v>911</v>
      </c>
      <c r="E17" s="43" t="s">
        <v>912</v>
      </c>
      <c r="F17" s="43" t="s">
        <v>836</v>
      </c>
      <c r="G17" s="43" t="s">
        <v>913</v>
      </c>
      <c r="H17" s="43" t="s">
        <v>914</v>
      </c>
      <c r="I17" s="43" t="s">
        <v>915</v>
      </c>
      <c r="J17" s="46"/>
    </row>
    <row r="18" spans="2:10">
      <c r="B18" s="41" t="s">
        <v>916</v>
      </c>
      <c r="C18" s="48" t="s">
        <v>865</v>
      </c>
      <c r="D18" s="49" t="s">
        <v>917</v>
      </c>
      <c r="E18" s="49" t="s">
        <v>918</v>
      </c>
      <c r="F18" s="49" t="s">
        <v>849</v>
      </c>
      <c r="G18" s="49" t="s">
        <v>919</v>
      </c>
      <c r="H18" s="43" t="s">
        <v>49</v>
      </c>
      <c r="I18" s="43" t="s">
        <v>920</v>
      </c>
      <c r="J18" s="51"/>
    </row>
    <row r="19" spans="2:10">
      <c r="B19" s="41" t="s">
        <v>921</v>
      </c>
      <c r="C19" s="48" t="s">
        <v>865</v>
      </c>
      <c r="D19" s="49" t="s">
        <v>922</v>
      </c>
      <c r="E19" s="49" t="s">
        <v>923</v>
      </c>
      <c r="F19" s="49" t="s">
        <v>849</v>
      </c>
      <c r="G19" s="49" t="s">
        <v>924</v>
      </c>
      <c r="H19" s="43" t="s">
        <v>49</v>
      </c>
      <c r="I19" s="43" t="s">
        <v>925</v>
      </c>
      <c r="J19" s="51"/>
    </row>
    <row r="20" spans="2:10">
      <c r="B20" s="41" t="s">
        <v>926</v>
      </c>
      <c r="C20" s="48" t="s">
        <v>859</v>
      </c>
      <c r="D20" s="49" t="s">
        <v>927</v>
      </c>
      <c r="E20" s="49" t="s">
        <v>928</v>
      </c>
      <c r="F20" s="49" t="s">
        <v>849</v>
      </c>
      <c r="G20" s="49" t="s">
        <v>929</v>
      </c>
      <c r="H20" s="43" t="s">
        <v>930</v>
      </c>
      <c r="I20" s="43" t="s">
        <v>931</v>
      </c>
      <c r="J20" s="51"/>
    </row>
    <row r="21" spans="2:10">
      <c r="B21" s="41" t="s">
        <v>932</v>
      </c>
      <c r="C21" s="48" t="s">
        <v>859</v>
      </c>
      <c r="D21" s="49" t="s">
        <v>933</v>
      </c>
      <c r="E21" s="49" t="s">
        <v>934</v>
      </c>
      <c r="F21" s="49" t="s">
        <v>849</v>
      </c>
      <c r="G21" s="49" t="s">
        <v>935</v>
      </c>
      <c r="H21" s="43" t="s">
        <v>936</v>
      </c>
      <c r="I21" s="43" t="s">
        <v>937</v>
      </c>
      <c r="J21" s="51"/>
    </row>
    <row r="22" spans="2:10">
      <c r="B22" s="41" t="s">
        <v>938</v>
      </c>
      <c r="C22" s="42" t="s">
        <v>865</v>
      </c>
      <c r="D22" s="43" t="s">
        <v>939</v>
      </c>
      <c r="E22" s="43" t="s">
        <v>940</v>
      </c>
      <c r="F22" s="43" t="s">
        <v>836</v>
      </c>
      <c r="G22" s="43" t="s">
        <v>941</v>
      </c>
      <c r="H22" s="43" t="s">
        <v>942</v>
      </c>
      <c r="I22" s="43" t="s">
        <v>943</v>
      </c>
      <c r="J22" s="46"/>
    </row>
    <row r="23" spans="2:10">
      <c r="B23" s="41" t="s">
        <v>107</v>
      </c>
      <c r="C23" s="42" t="s">
        <v>944</v>
      </c>
      <c r="D23" s="43" t="s">
        <v>945</v>
      </c>
      <c r="E23" s="43" t="s">
        <v>946</v>
      </c>
      <c r="F23" s="43" t="s">
        <v>836</v>
      </c>
      <c r="G23" s="43" t="s">
        <v>947</v>
      </c>
      <c r="H23" s="43"/>
      <c r="I23" s="43" t="s">
        <v>948</v>
      </c>
      <c r="J23" s="46"/>
    </row>
    <row r="24" spans="2:10">
      <c r="B24" s="41" t="s">
        <v>949</v>
      </c>
      <c r="C24" s="42" t="s">
        <v>950</v>
      </c>
      <c r="D24" s="43" t="s">
        <v>951</v>
      </c>
      <c r="E24" s="43" t="s">
        <v>952</v>
      </c>
      <c r="F24" s="43" t="s">
        <v>849</v>
      </c>
      <c r="G24" s="43" t="s">
        <v>953</v>
      </c>
      <c r="H24" s="43" t="s">
        <v>954</v>
      </c>
      <c r="I24" s="43" t="s">
        <v>955</v>
      </c>
      <c r="J24" s="51"/>
    </row>
    <row r="25" spans="2:10">
      <c r="B25" s="41" t="s">
        <v>956</v>
      </c>
      <c r="C25" s="52" t="s">
        <v>957</v>
      </c>
      <c r="D25" s="53" t="s">
        <v>958</v>
      </c>
      <c r="E25" s="53" t="s">
        <v>959</v>
      </c>
      <c r="F25" s="43" t="s">
        <v>836</v>
      </c>
      <c r="G25" s="53" t="s">
        <v>960</v>
      </c>
      <c r="H25" s="53" t="s">
        <v>49</v>
      </c>
      <c r="I25" s="53" t="s">
        <v>961</v>
      </c>
      <c r="J25" s="54"/>
    </row>
    <row r="26" spans="2:10">
      <c r="B26" s="41" t="s">
        <v>962</v>
      </c>
      <c r="C26" s="42" t="s">
        <v>957</v>
      </c>
      <c r="D26" s="43" t="s">
        <v>963</v>
      </c>
      <c r="E26" s="43" t="s">
        <v>964</v>
      </c>
      <c r="F26" s="43" t="s">
        <v>836</v>
      </c>
      <c r="G26" s="43" t="s">
        <v>965</v>
      </c>
      <c r="H26" s="43"/>
      <c r="I26" s="43" t="s">
        <v>966</v>
      </c>
      <c r="J26" s="46"/>
    </row>
    <row r="27" spans="2:10">
      <c r="B27" s="41" t="s">
        <v>110</v>
      </c>
      <c r="C27" s="42" t="s">
        <v>944</v>
      </c>
      <c r="D27" s="43" t="s">
        <v>967</v>
      </c>
      <c r="E27" s="43" t="s">
        <v>968</v>
      </c>
      <c r="F27" s="43" t="s">
        <v>836</v>
      </c>
      <c r="G27" s="43" t="s">
        <v>969</v>
      </c>
      <c r="H27" s="43" t="s">
        <v>970</v>
      </c>
      <c r="I27" s="43" t="s">
        <v>971</v>
      </c>
      <c r="J27" s="46"/>
    </row>
    <row r="28" spans="2:10">
      <c r="B28" s="41" t="s">
        <v>972</v>
      </c>
      <c r="C28" s="52" t="s">
        <v>957</v>
      </c>
      <c r="D28" s="53" t="s">
        <v>973</v>
      </c>
      <c r="E28" s="53" t="s">
        <v>974</v>
      </c>
      <c r="F28" s="43" t="s">
        <v>836</v>
      </c>
      <c r="G28" s="53" t="s">
        <v>975</v>
      </c>
      <c r="H28" s="53" t="s">
        <v>975</v>
      </c>
      <c r="I28" s="53" t="s">
        <v>976</v>
      </c>
      <c r="J28" s="46"/>
    </row>
    <row r="29" spans="2:10">
      <c r="B29" s="41" t="s">
        <v>300</v>
      </c>
      <c r="C29" s="42" t="s">
        <v>977</v>
      </c>
      <c r="D29" s="42" t="s">
        <v>978</v>
      </c>
      <c r="E29" s="42" t="s">
        <v>979</v>
      </c>
      <c r="F29" s="42" t="s">
        <v>836</v>
      </c>
      <c r="G29" s="53" t="s">
        <v>980</v>
      </c>
      <c r="H29" s="53" t="s">
        <v>981</v>
      </c>
      <c r="I29" s="53" t="s">
        <v>982</v>
      </c>
      <c r="J29" s="46"/>
    </row>
    <row r="30" spans="2:10">
      <c r="B30" s="41" t="s">
        <v>983</v>
      </c>
      <c r="C30" s="48" t="s">
        <v>984</v>
      </c>
      <c r="D30" s="48" t="s">
        <v>985</v>
      </c>
      <c r="E30" s="48" t="s">
        <v>986</v>
      </c>
      <c r="F30" s="48" t="s">
        <v>849</v>
      </c>
      <c r="G30" s="49" t="s">
        <v>987</v>
      </c>
      <c r="H30" s="43"/>
      <c r="I30" s="43" t="s">
        <v>988</v>
      </c>
      <c r="J30" s="51"/>
    </row>
    <row r="31" spans="2:10">
      <c r="B31" s="41" t="s">
        <v>989</v>
      </c>
      <c r="C31" s="48" t="s">
        <v>984</v>
      </c>
      <c r="D31" s="48" t="s">
        <v>990</v>
      </c>
      <c r="E31" s="48" t="s">
        <v>991</v>
      </c>
      <c r="F31" s="48" t="s">
        <v>849</v>
      </c>
      <c r="G31" s="49" t="s">
        <v>992</v>
      </c>
      <c r="H31" s="43"/>
      <c r="I31" s="43" t="s">
        <v>993</v>
      </c>
      <c r="J31" s="51"/>
    </row>
    <row r="32" spans="2:10">
      <c r="B32" s="41" t="s">
        <v>648</v>
      </c>
      <c r="C32" s="42" t="s">
        <v>994</v>
      </c>
      <c r="D32" s="43" t="s">
        <v>995</v>
      </c>
      <c r="E32" s="43" t="s">
        <v>649</v>
      </c>
      <c r="F32" s="43" t="s">
        <v>836</v>
      </c>
      <c r="G32" s="43" t="s">
        <v>996</v>
      </c>
      <c r="H32" s="43" t="s">
        <v>997</v>
      </c>
      <c r="I32" s="43" t="s">
        <v>998</v>
      </c>
      <c r="J32" s="46"/>
    </row>
    <row r="33" spans="2:10">
      <c r="B33" s="41" t="s">
        <v>493</v>
      </c>
      <c r="C33" s="42" t="s">
        <v>999</v>
      </c>
      <c r="D33" s="43" t="s">
        <v>1000</v>
      </c>
      <c r="E33" s="43" t="s">
        <v>1001</v>
      </c>
      <c r="F33" s="43" t="s">
        <v>836</v>
      </c>
      <c r="G33" s="43" t="s">
        <v>1002</v>
      </c>
      <c r="H33" s="43"/>
      <c r="I33" s="43" t="s">
        <v>1003</v>
      </c>
      <c r="J33" s="46"/>
    </row>
    <row r="34" spans="2:10">
      <c r="B34" s="41" t="s">
        <v>1004</v>
      </c>
      <c r="C34" s="42" t="s">
        <v>984</v>
      </c>
      <c r="D34" s="43" t="s">
        <v>1005</v>
      </c>
      <c r="E34" s="43" t="s">
        <v>1006</v>
      </c>
      <c r="F34" s="43" t="s">
        <v>836</v>
      </c>
      <c r="G34" s="43" t="s">
        <v>1007</v>
      </c>
      <c r="H34" s="43" t="s">
        <v>1008</v>
      </c>
      <c r="I34" s="43" t="s">
        <v>1009</v>
      </c>
      <c r="J34" s="46"/>
    </row>
    <row r="35" spans="2:10">
      <c r="B35" s="41" t="s">
        <v>1010</v>
      </c>
      <c r="C35" s="42" t="s">
        <v>984</v>
      </c>
      <c r="D35" s="43" t="s">
        <v>1011</v>
      </c>
      <c r="E35" s="43" t="s">
        <v>1012</v>
      </c>
      <c r="F35" s="43" t="s">
        <v>836</v>
      </c>
      <c r="G35" s="43" t="s">
        <v>1013</v>
      </c>
      <c r="H35" s="43" t="s">
        <v>1013</v>
      </c>
      <c r="I35" s="43" t="s">
        <v>1014</v>
      </c>
      <c r="J35" s="46"/>
    </row>
    <row r="36" spans="2:10">
      <c r="B36" s="41" t="s">
        <v>1015</v>
      </c>
      <c r="C36" s="42" t="s">
        <v>984</v>
      </c>
      <c r="D36" s="55" t="s">
        <v>1016</v>
      </c>
      <c r="E36" s="55" t="s">
        <v>1017</v>
      </c>
      <c r="F36" s="43" t="s">
        <v>836</v>
      </c>
      <c r="G36" s="55" t="s">
        <v>1018</v>
      </c>
      <c r="H36" s="55" t="s">
        <v>1018</v>
      </c>
      <c r="I36" s="56" t="s">
        <v>1019</v>
      </c>
      <c r="J36" s="46"/>
    </row>
    <row r="37" spans="2:10">
      <c r="B37" s="41" t="s">
        <v>1020</v>
      </c>
      <c r="C37" s="42" t="s">
        <v>984</v>
      </c>
      <c r="D37" s="43" t="s">
        <v>1021</v>
      </c>
      <c r="E37" s="43" t="s">
        <v>1022</v>
      </c>
      <c r="F37" s="43" t="s">
        <v>836</v>
      </c>
      <c r="G37" s="43" t="s">
        <v>1023</v>
      </c>
      <c r="H37" s="43" t="s">
        <v>1024</v>
      </c>
      <c r="I37" s="56" t="s">
        <v>1025</v>
      </c>
      <c r="J37" s="46"/>
    </row>
    <row r="38" spans="2:10">
      <c r="B38" s="41" t="s">
        <v>1026</v>
      </c>
      <c r="C38" s="42" t="s">
        <v>984</v>
      </c>
      <c r="D38" s="43" t="s">
        <v>1027</v>
      </c>
      <c r="E38" s="43" t="s">
        <v>1028</v>
      </c>
      <c r="F38" s="43" t="s">
        <v>836</v>
      </c>
      <c r="G38" s="43" t="s">
        <v>1029</v>
      </c>
      <c r="H38" s="43" t="s">
        <v>1029</v>
      </c>
      <c r="I38" s="56" t="s">
        <v>1030</v>
      </c>
      <c r="J38" s="46"/>
    </row>
    <row r="39" spans="2:10">
      <c r="B39" s="41"/>
      <c r="C39" s="57" t="s">
        <v>984</v>
      </c>
      <c r="D39" s="43" t="s">
        <v>1031</v>
      </c>
      <c r="E39" s="43" t="s">
        <v>1032</v>
      </c>
      <c r="F39" s="43" t="s">
        <v>836</v>
      </c>
      <c r="G39" s="58">
        <v>770622222</v>
      </c>
      <c r="H39" s="59"/>
      <c r="I39" s="56" t="s">
        <v>1033</v>
      </c>
      <c r="J39" s="46"/>
    </row>
    <row r="40" spans="2:10">
      <c r="B40" s="41"/>
      <c r="C40" s="57" t="s">
        <v>984</v>
      </c>
      <c r="D40" s="43" t="s">
        <v>1034</v>
      </c>
      <c r="E40" s="43" t="s">
        <v>1035</v>
      </c>
      <c r="F40" s="43" t="s">
        <v>836</v>
      </c>
      <c r="G40" s="58">
        <v>796519118</v>
      </c>
      <c r="H40" s="43"/>
      <c r="I40" s="56" t="s">
        <v>1036</v>
      </c>
      <c r="J40" s="46"/>
    </row>
    <row r="41" spans="2:10">
      <c r="B41" s="41"/>
      <c r="C41" s="57" t="s">
        <v>984</v>
      </c>
      <c r="D41" s="43" t="s">
        <v>1037</v>
      </c>
      <c r="E41" s="43" t="s">
        <v>1038</v>
      </c>
      <c r="F41" s="43" t="s">
        <v>836</v>
      </c>
      <c r="G41" s="58">
        <v>788310103</v>
      </c>
      <c r="H41" s="43"/>
      <c r="I41" s="56" t="s">
        <v>1039</v>
      </c>
      <c r="J41" s="46"/>
    </row>
    <row r="42" spans="2:10">
      <c r="B42" s="41"/>
      <c r="C42" s="57" t="s">
        <v>984</v>
      </c>
      <c r="D42" s="43" t="s">
        <v>1040</v>
      </c>
      <c r="E42" s="43" t="s">
        <v>305</v>
      </c>
      <c r="F42" s="43" t="s">
        <v>836</v>
      </c>
      <c r="G42" s="58">
        <v>799826539</v>
      </c>
      <c r="H42" s="60"/>
      <c r="I42" s="56" t="s">
        <v>1041</v>
      </c>
      <c r="J42" s="46"/>
    </row>
    <row r="43" spans="2:10">
      <c r="B43" s="41"/>
      <c r="C43" s="57" t="s">
        <v>984</v>
      </c>
      <c r="D43" s="43" t="s">
        <v>1042</v>
      </c>
      <c r="E43" s="43" t="s">
        <v>1043</v>
      </c>
      <c r="F43" s="43" t="s">
        <v>836</v>
      </c>
      <c r="G43" s="58">
        <v>799826539</v>
      </c>
      <c r="H43" s="43"/>
      <c r="I43" s="56"/>
      <c r="J43" s="51" t="s">
        <v>1044</v>
      </c>
    </row>
    <row r="44" spans="2:10">
      <c r="B44" s="41"/>
      <c r="C44" s="57" t="s">
        <v>984</v>
      </c>
      <c r="D44" s="43" t="s">
        <v>1045</v>
      </c>
      <c r="E44" s="43" t="s">
        <v>1046</v>
      </c>
      <c r="F44" s="43" t="s">
        <v>836</v>
      </c>
      <c r="G44" s="58">
        <v>792000126</v>
      </c>
      <c r="H44" s="59"/>
      <c r="I44" s="56" t="s">
        <v>1047</v>
      </c>
      <c r="J44" s="46"/>
    </row>
    <row r="45" spans="2:10">
      <c r="B45" s="41"/>
      <c r="C45" s="42" t="s">
        <v>984</v>
      </c>
      <c r="D45" s="43" t="s">
        <v>1048</v>
      </c>
      <c r="E45" s="43" t="s">
        <v>1049</v>
      </c>
      <c r="F45" s="43" t="s">
        <v>836</v>
      </c>
      <c r="G45" s="58">
        <v>798407574</v>
      </c>
      <c r="H45" s="60"/>
      <c r="I45" s="56" t="s">
        <v>1050</v>
      </c>
      <c r="J45" s="46"/>
    </row>
    <row r="46" spans="2:10">
      <c r="B46" s="41" t="s">
        <v>1051</v>
      </c>
      <c r="C46" s="42" t="s">
        <v>950</v>
      </c>
      <c r="D46" s="43" t="s">
        <v>1052</v>
      </c>
      <c r="E46" s="43" t="s">
        <v>1053</v>
      </c>
      <c r="F46" s="43" t="s">
        <v>836</v>
      </c>
      <c r="G46" s="43" t="s">
        <v>1054</v>
      </c>
      <c r="H46" s="43"/>
      <c r="I46" s="56" t="s">
        <v>1055</v>
      </c>
      <c r="J46" s="46"/>
    </row>
    <row r="47" spans="2:10">
      <c r="B47" s="41" t="s">
        <v>1056</v>
      </c>
      <c r="C47" s="42" t="s">
        <v>950</v>
      </c>
      <c r="D47" s="43" t="s">
        <v>1057</v>
      </c>
      <c r="E47" s="43" t="s">
        <v>1058</v>
      </c>
      <c r="F47" s="43" t="s">
        <v>836</v>
      </c>
      <c r="G47" s="43" t="s">
        <v>1059</v>
      </c>
      <c r="H47" s="43" t="s">
        <v>1059</v>
      </c>
      <c r="I47" s="56" t="s">
        <v>1060</v>
      </c>
      <c r="J47" s="46"/>
    </row>
    <row r="48" spans="2:10">
      <c r="B48" s="41" t="s">
        <v>1061</v>
      </c>
      <c r="C48" s="48" t="s">
        <v>950</v>
      </c>
      <c r="D48" s="49" t="s">
        <v>1062</v>
      </c>
      <c r="E48" s="49" t="s">
        <v>1063</v>
      </c>
      <c r="F48" s="49" t="s">
        <v>849</v>
      </c>
      <c r="G48" s="43" t="s">
        <v>1064</v>
      </c>
      <c r="H48" s="43" t="s">
        <v>1065</v>
      </c>
      <c r="I48" s="56" t="s">
        <v>1066</v>
      </c>
      <c r="J48" s="51"/>
    </row>
    <row r="49" spans="2:10">
      <c r="B49" s="41" t="s">
        <v>1067</v>
      </c>
      <c r="C49" s="42" t="s">
        <v>950</v>
      </c>
      <c r="D49" s="43" t="s">
        <v>1068</v>
      </c>
      <c r="E49" s="43" t="s">
        <v>1069</v>
      </c>
      <c r="F49" s="43" t="s">
        <v>836</v>
      </c>
      <c r="G49" s="43" t="s">
        <v>1070</v>
      </c>
      <c r="H49" s="43"/>
      <c r="I49" s="43" t="s">
        <v>1071</v>
      </c>
      <c r="J49" s="46"/>
    </row>
    <row r="50" spans="2:10">
      <c r="B50" s="41" t="s">
        <v>161</v>
      </c>
      <c r="C50" s="42" t="s">
        <v>1072</v>
      </c>
      <c r="D50" s="43" t="s">
        <v>1073</v>
      </c>
      <c r="E50" s="43" t="s">
        <v>1074</v>
      </c>
      <c r="F50" s="43" t="s">
        <v>836</v>
      </c>
      <c r="G50" s="43" t="s">
        <v>1075</v>
      </c>
      <c r="H50" s="43"/>
      <c r="I50" s="43" t="s">
        <v>1076</v>
      </c>
      <c r="J50" s="46"/>
    </row>
    <row r="51" spans="2:10">
      <c r="B51" s="41" t="s">
        <v>167</v>
      </c>
      <c r="C51" s="42" t="s">
        <v>1072</v>
      </c>
      <c r="D51" s="43" t="s">
        <v>1077</v>
      </c>
      <c r="E51" s="43" t="s">
        <v>1078</v>
      </c>
      <c r="F51" s="43" t="s">
        <v>836</v>
      </c>
      <c r="G51" s="43" t="s">
        <v>1079</v>
      </c>
      <c r="H51" s="43" t="s">
        <v>1080</v>
      </c>
      <c r="I51" s="43" t="s">
        <v>1081</v>
      </c>
      <c r="J51" s="46"/>
    </row>
    <row r="52" spans="2:10">
      <c r="B52" s="41" t="s">
        <v>196</v>
      </c>
      <c r="C52" s="42" t="s">
        <v>1082</v>
      </c>
      <c r="D52" s="43" t="s">
        <v>1083</v>
      </c>
      <c r="E52" s="43" t="s">
        <v>1084</v>
      </c>
      <c r="F52" s="43" t="s">
        <v>836</v>
      </c>
      <c r="G52" s="43" t="s">
        <v>1085</v>
      </c>
      <c r="H52" s="43" t="s">
        <v>1086</v>
      </c>
      <c r="I52" s="43" t="s">
        <v>1087</v>
      </c>
      <c r="J52" s="46"/>
    </row>
    <row r="53" spans="2:10">
      <c r="B53" s="41" t="s">
        <v>462</v>
      </c>
      <c r="C53" s="42" t="s">
        <v>1088</v>
      </c>
      <c r="D53" s="43" t="s">
        <v>1089</v>
      </c>
      <c r="E53" s="43" t="s">
        <v>1090</v>
      </c>
      <c r="F53" s="43" t="s">
        <v>836</v>
      </c>
      <c r="G53" s="43" t="s">
        <v>1091</v>
      </c>
      <c r="H53" s="43" t="s">
        <v>1092</v>
      </c>
      <c r="I53" s="43" t="s">
        <v>1093</v>
      </c>
      <c r="J53" s="46"/>
    </row>
    <row r="54" spans="2:10">
      <c r="B54" s="41" t="s">
        <v>201</v>
      </c>
      <c r="C54" s="42" t="s">
        <v>1088</v>
      </c>
      <c r="D54" s="43" t="s">
        <v>1094</v>
      </c>
      <c r="E54" s="43" t="s">
        <v>1095</v>
      </c>
      <c r="F54" s="43" t="s">
        <v>836</v>
      </c>
      <c r="G54" s="43" t="s">
        <v>1096</v>
      </c>
      <c r="H54" s="43" t="s">
        <v>1096</v>
      </c>
      <c r="I54" s="43" t="s">
        <v>1097</v>
      </c>
      <c r="J54" s="46"/>
    </row>
    <row r="55" spans="2:10">
      <c r="B55" s="41" t="s">
        <v>205</v>
      </c>
      <c r="C55" s="42" t="s">
        <v>1098</v>
      </c>
      <c r="D55" s="43" t="s">
        <v>1099</v>
      </c>
      <c r="E55" s="43" t="s">
        <v>1100</v>
      </c>
      <c r="F55" s="43" t="s">
        <v>836</v>
      </c>
      <c r="G55" s="43" t="s">
        <v>1101</v>
      </c>
      <c r="H55" s="43" t="s">
        <v>1102</v>
      </c>
      <c r="I55" s="43" t="s">
        <v>1103</v>
      </c>
      <c r="J55" s="46"/>
    </row>
    <row r="56" spans="2:10">
      <c r="B56" s="41" t="s">
        <v>207</v>
      </c>
      <c r="C56" s="42" t="s">
        <v>1082</v>
      </c>
      <c r="D56" s="43" t="s">
        <v>1104</v>
      </c>
      <c r="E56" s="43" t="s">
        <v>1105</v>
      </c>
      <c r="F56" s="43" t="s">
        <v>836</v>
      </c>
      <c r="G56" s="43" t="s">
        <v>1106</v>
      </c>
      <c r="H56" s="43" t="s">
        <v>1107</v>
      </c>
      <c r="I56" s="43" t="s">
        <v>1108</v>
      </c>
      <c r="J56" s="46"/>
    </row>
    <row r="57" spans="2:10">
      <c r="B57" s="41" t="s">
        <v>210</v>
      </c>
      <c r="C57" s="42" t="s">
        <v>1082</v>
      </c>
      <c r="D57" s="43" t="s">
        <v>1109</v>
      </c>
      <c r="E57" s="43" t="s">
        <v>1110</v>
      </c>
      <c r="F57" s="43" t="s">
        <v>836</v>
      </c>
      <c r="G57" s="43" t="s">
        <v>1111</v>
      </c>
      <c r="H57" s="43" t="s">
        <v>1112</v>
      </c>
      <c r="I57" s="43" t="s">
        <v>1113</v>
      </c>
      <c r="J57" s="46"/>
    </row>
    <row r="58" spans="2:10">
      <c r="B58" s="41" t="s">
        <v>118</v>
      </c>
      <c r="C58" s="42" t="s">
        <v>944</v>
      </c>
      <c r="D58" s="43" t="s">
        <v>1114</v>
      </c>
      <c r="E58" s="43" t="s">
        <v>1115</v>
      </c>
      <c r="F58" s="43" t="s">
        <v>836</v>
      </c>
      <c r="G58" s="43" t="s">
        <v>1116</v>
      </c>
      <c r="H58" s="43" t="s">
        <v>1117</v>
      </c>
      <c r="I58" s="43" t="s">
        <v>1118</v>
      </c>
      <c r="J58" s="46"/>
    </row>
    <row r="59" spans="2:10">
      <c r="B59" s="41" t="s">
        <v>1119</v>
      </c>
      <c r="C59" s="42" t="s">
        <v>1120</v>
      </c>
      <c r="D59" s="43" t="s">
        <v>1121</v>
      </c>
      <c r="E59" s="43" t="s">
        <v>1122</v>
      </c>
      <c r="F59" s="43" t="s">
        <v>836</v>
      </c>
      <c r="G59" s="43" t="s">
        <v>1123</v>
      </c>
      <c r="H59" s="43"/>
      <c r="I59" s="43" t="s">
        <v>1124</v>
      </c>
      <c r="J59" s="46"/>
    </row>
    <row r="60" spans="2:10">
      <c r="B60" s="41" t="s">
        <v>180</v>
      </c>
      <c r="C60" s="42" t="s">
        <v>1125</v>
      </c>
      <c r="D60" s="43" t="s">
        <v>1126</v>
      </c>
      <c r="E60" s="43" t="s">
        <v>1127</v>
      </c>
      <c r="F60" s="43" t="s">
        <v>836</v>
      </c>
      <c r="G60" s="43" t="s">
        <v>1128</v>
      </c>
      <c r="H60" s="43" t="s">
        <v>1129</v>
      </c>
      <c r="I60" s="43" t="s">
        <v>1130</v>
      </c>
      <c r="J60" s="46"/>
    </row>
    <row r="61" spans="2:10">
      <c r="B61" s="41" t="s">
        <v>185</v>
      </c>
      <c r="C61" s="42" t="s">
        <v>1125</v>
      </c>
      <c r="D61" s="43" t="s">
        <v>1131</v>
      </c>
      <c r="E61" s="43" t="s">
        <v>1132</v>
      </c>
      <c r="F61" s="43" t="s">
        <v>836</v>
      </c>
      <c r="G61" s="43" t="s">
        <v>1133</v>
      </c>
      <c r="H61" s="43" t="s">
        <v>1134</v>
      </c>
      <c r="I61" s="43" t="s">
        <v>1135</v>
      </c>
      <c r="J61" s="46"/>
    </row>
    <row r="62" spans="2:10">
      <c r="B62" s="41" t="s">
        <v>409</v>
      </c>
      <c r="C62" s="42" t="s">
        <v>1136</v>
      </c>
      <c r="D62" s="53" t="s">
        <v>1137</v>
      </c>
      <c r="E62" s="43" t="s">
        <v>1138</v>
      </c>
      <c r="F62" s="43" t="s">
        <v>836</v>
      </c>
      <c r="G62" s="43" t="s">
        <v>1139</v>
      </c>
      <c r="H62" s="43" t="s">
        <v>1140</v>
      </c>
      <c r="I62" s="43" t="s">
        <v>1141</v>
      </c>
      <c r="J62" s="46"/>
    </row>
    <row r="63" spans="2:10">
      <c r="B63" s="41" t="s">
        <v>1142</v>
      </c>
      <c r="C63" s="42" t="s">
        <v>1098</v>
      </c>
      <c r="D63" s="43" t="s">
        <v>1143</v>
      </c>
      <c r="E63" s="43" t="s">
        <v>1144</v>
      </c>
      <c r="F63" s="43" t="s">
        <v>836</v>
      </c>
      <c r="G63" s="43" t="s">
        <v>1145</v>
      </c>
      <c r="H63" s="43"/>
      <c r="I63" s="43" t="s">
        <v>1146</v>
      </c>
      <c r="J63" s="46"/>
    </row>
    <row r="64" spans="2:10">
      <c r="B64" s="41" t="s">
        <v>1147</v>
      </c>
      <c r="C64" s="42" t="s">
        <v>1148</v>
      </c>
      <c r="D64" s="43" t="s">
        <v>1149</v>
      </c>
      <c r="E64" s="43" t="s">
        <v>1150</v>
      </c>
      <c r="F64" s="43" t="s">
        <v>836</v>
      </c>
      <c r="G64" s="43" t="s">
        <v>1151</v>
      </c>
      <c r="H64" s="43" t="s">
        <v>1152</v>
      </c>
      <c r="I64" s="43" t="s">
        <v>1153</v>
      </c>
      <c r="J64" s="46"/>
    </row>
    <row r="65" spans="2:11">
      <c r="B65" s="41" t="s">
        <v>476</v>
      </c>
      <c r="C65" s="42" t="s">
        <v>1154</v>
      </c>
      <c r="D65" s="43" t="s">
        <v>1155</v>
      </c>
      <c r="E65" s="43" t="s">
        <v>1156</v>
      </c>
      <c r="F65" s="43" t="s">
        <v>836</v>
      </c>
      <c r="G65" s="43" t="s">
        <v>1157</v>
      </c>
      <c r="H65" s="43"/>
      <c r="I65" s="43" t="s">
        <v>1158</v>
      </c>
      <c r="J65" s="46"/>
      <c r="K65" s="35" t="s">
        <v>1159</v>
      </c>
    </row>
    <row r="66" spans="2:11">
      <c r="B66" s="41" t="s">
        <v>1160</v>
      </c>
      <c r="C66" s="42" t="s">
        <v>1161</v>
      </c>
      <c r="D66" s="43" t="s">
        <v>1162</v>
      </c>
      <c r="E66" s="43" t="s">
        <v>1163</v>
      </c>
      <c r="F66" s="43" t="s">
        <v>836</v>
      </c>
      <c r="G66" s="43" t="s">
        <v>1164</v>
      </c>
      <c r="H66" s="43" t="s">
        <v>1165</v>
      </c>
      <c r="I66" s="43" t="s">
        <v>1166</v>
      </c>
      <c r="J66" s="46"/>
      <c r="K66" s="35" t="s">
        <v>1167</v>
      </c>
    </row>
    <row r="67" spans="2:11">
      <c r="B67" s="41" t="s">
        <v>1168</v>
      </c>
      <c r="C67" s="42" t="s">
        <v>1161</v>
      </c>
      <c r="D67" s="43" t="s">
        <v>1169</v>
      </c>
      <c r="E67" s="43" t="s">
        <v>1170</v>
      </c>
      <c r="F67" s="43" t="s">
        <v>836</v>
      </c>
      <c r="G67" s="43" t="s">
        <v>1171</v>
      </c>
      <c r="H67" s="43"/>
      <c r="I67" s="43" t="s">
        <v>1172</v>
      </c>
      <c r="J67" s="46"/>
      <c r="K67" s="35" t="s">
        <v>1173</v>
      </c>
    </row>
    <row r="68" spans="2:11">
      <c r="B68" s="41" t="s">
        <v>1174</v>
      </c>
      <c r="C68" s="42" t="s">
        <v>1175</v>
      </c>
      <c r="D68" s="43" t="s">
        <v>1176</v>
      </c>
      <c r="E68" s="43" t="s">
        <v>1177</v>
      </c>
      <c r="F68" s="43" t="s">
        <v>836</v>
      </c>
      <c r="G68" s="43" t="s">
        <v>1178</v>
      </c>
      <c r="H68" s="43" t="s">
        <v>1178</v>
      </c>
      <c r="I68" s="43" t="s">
        <v>1179</v>
      </c>
      <c r="J68" s="46"/>
    </row>
    <row r="69" spans="2:11">
      <c r="B69" s="41" t="s">
        <v>1180</v>
      </c>
      <c r="C69" s="42" t="s">
        <v>1181</v>
      </c>
      <c r="D69" s="43" t="s">
        <v>1182</v>
      </c>
      <c r="E69" s="43" t="s">
        <v>1183</v>
      </c>
      <c r="F69" s="43" t="s">
        <v>836</v>
      </c>
      <c r="G69" s="43" t="s">
        <v>1184</v>
      </c>
      <c r="H69" s="43" t="s">
        <v>1185</v>
      </c>
      <c r="I69" s="43" t="s">
        <v>1186</v>
      </c>
      <c r="J69" s="46"/>
    </row>
    <row r="70" spans="2:11">
      <c r="B70" s="41" t="s">
        <v>1187</v>
      </c>
      <c r="C70" s="42" t="s">
        <v>1181</v>
      </c>
      <c r="D70" s="43" t="s">
        <v>1188</v>
      </c>
      <c r="E70" s="43" t="s">
        <v>1189</v>
      </c>
      <c r="F70" s="43" t="s">
        <v>836</v>
      </c>
      <c r="G70" s="43" t="s">
        <v>1190</v>
      </c>
      <c r="H70" s="43" t="s">
        <v>1191</v>
      </c>
      <c r="I70" s="43" t="s">
        <v>1192</v>
      </c>
      <c r="J70" s="46"/>
    </row>
    <row r="71" spans="2:11">
      <c r="B71" s="41" t="s">
        <v>1187</v>
      </c>
      <c r="C71" s="42" t="s">
        <v>1193</v>
      </c>
      <c r="D71" s="42" t="s">
        <v>1194</v>
      </c>
      <c r="E71" s="42" t="s">
        <v>1195</v>
      </c>
      <c r="F71" s="42" t="s">
        <v>836</v>
      </c>
      <c r="G71" s="43" t="s">
        <v>1190</v>
      </c>
      <c r="H71" s="43"/>
      <c r="I71" s="43" t="s">
        <v>1192</v>
      </c>
      <c r="J71" s="46"/>
    </row>
    <row r="72" spans="2:11">
      <c r="B72" s="41" t="s">
        <v>1196</v>
      </c>
      <c r="C72" s="48" t="s">
        <v>1181</v>
      </c>
      <c r="D72" s="48" t="s">
        <v>1197</v>
      </c>
      <c r="E72" s="48" t="s">
        <v>1198</v>
      </c>
      <c r="F72" s="48" t="s">
        <v>849</v>
      </c>
      <c r="G72" s="43" t="s">
        <v>1199</v>
      </c>
      <c r="H72" s="43" t="s">
        <v>1199</v>
      </c>
      <c r="I72" s="43" t="s">
        <v>1200</v>
      </c>
      <c r="J72" s="51"/>
    </row>
    <row r="73" spans="2:11">
      <c r="B73" s="41" t="s">
        <v>1201</v>
      </c>
      <c r="C73" s="48" t="s">
        <v>1181</v>
      </c>
      <c r="D73" s="48" t="s">
        <v>1202</v>
      </c>
      <c r="E73" s="48" t="s">
        <v>1203</v>
      </c>
      <c r="F73" s="48" t="s">
        <v>849</v>
      </c>
      <c r="G73" s="43" t="s">
        <v>1204</v>
      </c>
      <c r="H73" s="43" t="s">
        <v>1205</v>
      </c>
      <c r="I73" s="43" t="s">
        <v>1206</v>
      </c>
      <c r="J73" s="51"/>
    </row>
    <row r="74" spans="2:11">
      <c r="B74" s="41" t="s">
        <v>1207</v>
      </c>
      <c r="C74" s="48" t="s">
        <v>1181</v>
      </c>
      <c r="D74" s="48" t="s">
        <v>1208</v>
      </c>
      <c r="E74" s="48" t="s">
        <v>1209</v>
      </c>
      <c r="F74" s="48" t="s">
        <v>849</v>
      </c>
      <c r="G74" s="43" t="s">
        <v>1210</v>
      </c>
      <c r="H74" s="43" t="s">
        <v>1210</v>
      </c>
      <c r="I74" s="43" t="s">
        <v>1211</v>
      </c>
      <c r="J74" s="51"/>
    </row>
    <row r="75" spans="2:11">
      <c r="B75" s="41" t="s">
        <v>1212</v>
      </c>
      <c r="C75" s="42" t="s">
        <v>1181</v>
      </c>
      <c r="D75" s="42" t="s">
        <v>1213</v>
      </c>
      <c r="E75" s="42" t="s">
        <v>1214</v>
      </c>
      <c r="F75" s="42" t="s">
        <v>836</v>
      </c>
      <c r="G75" s="43" t="s">
        <v>1215</v>
      </c>
      <c r="H75" s="43" t="s">
        <v>1190</v>
      </c>
      <c r="I75" s="43" t="s">
        <v>1216</v>
      </c>
      <c r="J75" s="46"/>
    </row>
    <row r="76" spans="2:11">
      <c r="B76" s="41" t="s">
        <v>1217</v>
      </c>
      <c r="C76" s="42" t="s">
        <v>1218</v>
      </c>
      <c r="D76" s="42" t="s">
        <v>1219</v>
      </c>
      <c r="E76" s="42" t="s">
        <v>782</v>
      </c>
      <c r="F76" s="42" t="s">
        <v>836</v>
      </c>
      <c r="G76" s="43" t="s">
        <v>1220</v>
      </c>
      <c r="H76" s="43"/>
      <c r="I76" s="43" t="s">
        <v>1221</v>
      </c>
      <c r="J76" s="46"/>
    </row>
    <row r="77" spans="2:11">
      <c r="B77" s="41" t="s">
        <v>1222</v>
      </c>
      <c r="C77" s="42" t="s">
        <v>1218</v>
      </c>
      <c r="D77" s="42" t="s">
        <v>1223</v>
      </c>
      <c r="E77" s="42" t="s">
        <v>1224</v>
      </c>
      <c r="F77" s="42" t="s">
        <v>836</v>
      </c>
      <c r="G77" s="43" t="s">
        <v>1225</v>
      </c>
      <c r="H77" s="43" t="s">
        <v>1226</v>
      </c>
      <c r="I77" s="43" t="s">
        <v>1227</v>
      </c>
      <c r="J77" s="46"/>
    </row>
    <row r="78" spans="2:11" ht="16">
      <c r="B78" s="41" t="s">
        <v>1228</v>
      </c>
      <c r="C78" s="42" t="s">
        <v>1181</v>
      </c>
      <c r="D78" s="42" t="s">
        <v>1229</v>
      </c>
      <c r="E78" s="42" t="s">
        <v>1230</v>
      </c>
      <c r="F78" s="42" t="s">
        <v>836</v>
      </c>
      <c r="G78" s="42" t="s">
        <v>1231</v>
      </c>
      <c r="H78" s="43" t="s">
        <v>1232</v>
      </c>
      <c r="I78" s="43" t="s">
        <v>1233</v>
      </c>
      <c r="J78" s="46" t="s">
        <v>1234</v>
      </c>
      <c r="K78" s="61" t="s">
        <v>1235</v>
      </c>
    </row>
    <row r="79" spans="2:11">
      <c r="B79" s="41" t="s">
        <v>1236</v>
      </c>
      <c r="C79" s="42" t="s">
        <v>1218</v>
      </c>
      <c r="D79" s="42" t="s">
        <v>1237</v>
      </c>
      <c r="E79" s="42" t="s">
        <v>800</v>
      </c>
      <c r="F79" s="42" t="s">
        <v>836</v>
      </c>
      <c r="G79" s="42" t="s">
        <v>1238</v>
      </c>
      <c r="H79" s="43" t="s">
        <v>1239</v>
      </c>
      <c r="I79" s="43" t="s">
        <v>1240</v>
      </c>
      <c r="J79" s="46"/>
    </row>
    <row r="80" spans="2:11">
      <c r="B80" s="41" t="s">
        <v>1241</v>
      </c>
      <c r="C80" s="42" t="s">
        <v>1181</v>
      </c>
      <c r="D80" s="42" t="s">
        <v>1242</v>
      </c>
      <c r="E80" s="42" t="s">
        <v>1243</v>
      </c>
      <c r="F80" s="42" t="s">
        <v>836</v>
      </c>
      <c r="G80" s="42" t="s">
        <v>1244</v>
      </c>
      <c r="H80" s="43"/>
      <c r="I80" s="43" t="s">
        <v>1244</v>
      </c>
      <c r="J80" s="43" t="s">
        <v>1044</v>
      </c>
      <c r="K80" s="62" t="s">
        <v>1245</v>
      </c>
    </row>
    <row r="81" spans="2:11">
      <c r="B81" s="41" t="s">
        <v>1246</v>
      </c>
      <c r="C81" s="48" t="s">
        <v>1181</v>
      </c>
      <c r="D81" s="48" t="s">
        <v>1247</v>
      </c>
      <c r="E81" s="48" t="s">
        <v>637</v>
      </c>
      <c r="F81" s="48" t="s">
        <v>849</v>
      </c>
      <c r="G81" s="42" t="s">
        <v>1248</v>
      </c>
      <c r="H81" s="43"/>
      <c r="I81" s="43"/>
      <c r="J81" s="51"/>
    </row>
    <row r="82" spans="2:11">
      <c r="B82" s="41" t="s">
        <v>1249</v>
      </c>
      <c r="C82" s="42" t="s">
        <v>1181</v>
      </c>
      <c r="D82" s="42" t="s">
        <v>1250</v>
      </c>
      <c r="E82" s="42" t="s">
        <v>1251</v>
      </c>
      <c r="F82" s="42" t="s">
        <v>836</v>
      </c>
      <c r="G82" s="42" t="s">
        <v>1252</v>
      </c>
      <c r="H82" s="43" t="s">
        <v>1253</v>
      </c>
      <c r="I82" s="43" t="s">
        <v>1254</v>
      </c>
      <c r="J82" s="46"/>
    </row>
    <row r="83" spans="2:11">
      <c r="B83" s="41" t="s">
        <v>1255</v>
      </c>
      <c r="C83" s="42" t="s">
        <v>1181</v>
      </c>
      <c r="D83" s="42" t="s">
        <v>1256</v>
      </c>
      <c r="E83" s="42" t="s">
        <v>1257</v>
      </c>
      <c r="F83" s="42" t="s">
        <v>836</v>
      </c>
      <c r="G83" s="42" t="s">
        <v>1258</v>
      </c>
      <c r="H83" s="43" t="s">
        <v>1258</v>
      </c>
      <c r="I83" s="43" t="s">
        <v>1259</v>
      </c>
      <c r="J83" s="46"/>
    </row>
    <row r="84" spans="2:11">
      <c r="B84" s="41" t="s">
        <v>1260</v>
      </c>
      <c r="C84" s="42" t="s">
        <v>1181</v>
      </c>
      <c r="D84" s="42" t="s">
        <v>1261</v>
      </c>
      <c r="E84" s="42" t="s">
        <v>1262</v>
      </c>
      <c r="F84" s="42" t="s">
        <v>836</v>
      </c>
      <c r="G84" s="42" t="s">
        <v>1263</v>
      </c>
      <c r="H84" s="43" t="s">
        <v>1264</v>
      </c>
      <c r="I84" s="43" t="s">
        <v>1265</v>
      </c>
      <c r="J84" s="46"/>
    </row>
    <row r="85" spans="2:11">
      <c r="B85" s="41" t="s">
        <v>1266</v>
      </c>
      <c r="C85" s="42" t="s">
        <v>1181</v>
      </c>
      <c r="D85" s="42" t="s">
        <v>1267</v>
      </c>
      <c r="E85" s="42" t="s">
        <v>1268</v>
      </c>
      <c r="F85" s="42" t="s">
        <v>836</v>
      </c>
      <c r="G85" s="42" t="s">
        <v>1269</v>
      </c>
      <c r="H85" s="43" t="s">
        <v>1270</v>
      </c>
      <c r="I85" s="43" t="s">
        <v>1271</v>
      </c>
      <c r="J85" s="46"/>
    </row>
    <row r="86" spans="2:11">
      <c r="B86" s="41" t="s">
        <v>1272</v>
      </c>
      <c r="C86" s="42" t="s">
        <v>1181</v>
      </c>
      <c r="D86" s="42" t="s">
        <v>1273</v>
      </c>
      <c r="E86" s="42" t="s">
        <v>1274</v>
      </c>
      <c r="F86" s="42" t="s">
        <v>836</v>
      </c>
      <c r="G86" s="42" t="s">
        <v>1275</v>
      </c>
      <c r="H86" s="43"/>
      <c r="I86" s="43" t="s">
        <v>1276</v>
      </c>
      <c r="J86" s="46"/>
    </row>
    <row r="87" spans="2:11">
      <c r="B87" s="41" t="s">
        <v>1277</v>
      </c>
      <c r="C87" s="48" t="s">
        <v>1181</v>
      </c>
      <c r="D87" s="48" t="s">
        <v>1278</v>
      </c>
      <c r="E87" s="48" t="s">
        <v>1279</v>
      </c>
      <c r="F87" s="48" t="s">
        <v>849</v>
      </c>
      <c r="G87" s="42" t="s">
        <v>1280</v>
      </c>
      <c r="H87" s="43" t="s">
        <v>1281</v>
      </c>
      <c r="I87" s="43" t="s">
        <v>1282</v>
      </c>
      <c r="J87" s="51"/>
    </row>
    <row r="88" spans="2:11">
      <c r="B88" s="41" t="s">
        <v>1283</v>
      </c>
      <c r="C88" s="48" t="s">
        <v>1181</v>
      </c>
      <c r="D88" s="48" t="s">
        <v>1284</v>
      </c>
      <c r="E88" s="48" t="s">
        <v>1285</v>
      </c>
      <c r="F88" s="48" t="s">
        <v>849</v>
      </c>
      <c r="G88" s="42" t="s">
        <v>1286</v>
      </c>
      <c r="H88" s="43"/>
      <c r="I88" s="43" t="s">
        <v>1287</v>
      </c>
      <c r="J88" s="51"/>
    </row>
    <row r="89" spans="2:11" ht="16">
      <c r="B89" s="41" t="s">
        <v>1288</v>
      </c>
      <c r="C89" s="42" t="s">
        <v>1181</v>
      </c>
      <c r="D89" s="43" t="s">
        <v>1289</v>
      </c>
      <c r="E89" s="43" t="s">
        <v>1290</v>
      </c>
      <c r="F89" s="43" t="s">
        <v>836</v>
      </c>
      <c r="G89" s="42" t="s">
        <v>1291</v>
      </c>
      <c r="H89" s="43"/>
      <c r="I89" s="43" t="s">
        <v>1292</v>
      </c>
      <c r="J89" s="51" t="s">
        <v>1234</v>
      </c>
      <c r="K89" s="61" t="s">
        <v>1293</v>
      </c>
    </row>
    <row r="90" spans="2:11">
      <c r="B90" s="41" t="s">
        <v>1294</v>
      </c>
      <c r="C90" s="42" t="s">
        <v>1181</v>
      </c>
      <c r="D90" s="43" t="s">
        <v>1295</v>
      </c>
      <c r="E90" s="43" t="s">
        <v>1296</v>
      </c>
      <c r="F90" s="43" t="s">
        <v>836</v>
      </c>
      <c r="G90" s="42" t="s">
        <v>1297</v>
      </c>
      <c r="H90" s="43" t="s">
        <v>1298</v>
      </c>
      <c r="I90" s="43" t="s">
        <v>1299</v>
      </c>
      <c r="J90" s="46"/>
    </row>
    <row r="91" spans="2:11">
      <c r="B91" s="41" t="s">
        <v>1300</v>
      </c>
      <c r="C91" s="42" t="s">
        <v>1301</v>
      </c>
      <c r="D91" s="42" t="s">
        <v>1302</v>
      </c>
      <c r="E91" s="42" t="s">
        <v>1303</v>
      </c>
      <c r="F91" s="43" t="s">
        <v>836</v>
      </c>
      <c r="G91" s="42">
        <v>791726605</v>
      </c>
      <c r="H91" s="43">
        <v>777340134</v>
      </c>
      <c r="I91" s="43" t="s">
        <v>1304</v>
      </c>
      <c r="J91" s="46"/>
    </row>
    <row r="92" spans="2:11">
      <c r="B92" s="41" t="s">
        <v>1305</v>
      </c>
      <c r="C92" s="42" t="s">
        <v>1218</v>
      </c>
      <c r="D92" s="43" t="s">
        <v>1306</v>
      </c>
      <c r="E92" s="43" t="s">
        <v>1307</v>
      </c>
      <c r="F92" s="43" t="s">
        <v>836</v>
      </c>
      <c r="G92" s="42" t="s">
        <v>1308</v>
      </c>
      <c r="H92" s="43" t="s">
        <v>1309</v>
      </c>
      <c r="I92" s="43" t="s">
        <v>1310</v>
      </c>
      <c r="J92" s="46"/>
    </row>
    <row r="93" spans="2:11">
      <c r="B93" s="41" t="s">
        <v>1311</v>
      </c>
      <c r="C93" s="42" t="s">
        <v>1181</v>
      </c>
      <c r="D93" s="43" t="s">
        <v>1312</v>
      </c>
      <c r="E93" s="43" t="s">
        <v>1313</v>
      </c>
      <c r="F93" s="43" t="s">
        <v>836</v>
      </c>
      <c r="G93" s="43" t="s">
        <v>1314</v>
      </c>
      <c r="H93" s="43"/>
      <c r="I93" s="43" t="s">
        <v>1315</v>
      </c>
      <c r="J93" s="46"/>
    </row>
    <row r="94" spans="2:11">
      <c r="B94" s="41" t="s">
        <v>1316</v>
      </c>
      <c r="C94" s="42" t="s">
        <v>1181</v>
      </c>
      <c r="D94" s="43" t="s">
        <v>1317</v>
      </c>
      <c r="E94" s="43" t="s">
        <v>1318</v>
      </c>
      <c r="F94" s="43" t="s">
        <v>836</v>
      </c>
      <c r="G94" s="43" t="s">
        <v>1319</v>
      </c>
      <c r="H94" s="43" t="s">
        <v>1320</v>
      </c>
      <c r="I94" s="43" t="s">
        <v>1321</v>
      </c>
      <c r="J94" s="46"/>
    </row>
    <row r="95" spans="2:11">
      <c r="B95" s="41" t="s">
        <v>1322</v>
      </c>
      <c r="C95" s="42" t="s">
        <v>1218</v>
      </c>
      <c r="D95" s="43" t="s">
        <v>1323</v>
      </c>
      <c r="E95" s="43" t="s">
        <v>1324</v>
      </c>
      <c r="F95" s="43" t="s">
        <v>836</v>
      </c>
      <c r="G95" s="63">
        <v>772316903</v>
      </c>
      <c r="H95" s="42">
        <v>772316903</v>
      </c>
      <c r="I95" s="43" t="s">
        <v>1325</v>
      </c>
      <c r="J95" s="46"/>
    </row>
    <row r="96" spans="2:11">
      <c r="B96" s="41" t="s">
        <v>146</v>
      </c>
      <c r="C96" s="42" t="s">
        <v>1326</v>
      </c>
      <c r="D96" s="43" t="s">
        <v>1327</v>
      </c>
      <c r="E96" s="43" t="s">
        <v>1328</v>
      </c>
      <c r="F96" s="43" t="s">
        <v>836</v>
      </c>
      <c r="G96" s="63">
        <v>790157649</v>
      </c>
      <c r="H96" s="42"/>
      <c r="I96" s="43" t="s">
        <v>1329</v>
      </c>
      <c r="J96" s="46"/>
    </row>
    <row r="97" spans="2:10">
      <c r="B97" s="41" t="s">
        <v>611</v>
      </c>
      <c r="C97" s="42" t="s">
        <v>1330</v>
      </c>
      <c r="D97" s="43" t="s">
        <v>1331</v>
      </c>
      <c r="E97" s="43" t="s">
        <v>1332</v>
      </c>
      <c r="F97" s="43" t="s">
        <v>849</v>
      </c>
      <c r="G97" s="43" t="s">
        <v>1333</v>
      </c>
      <c r="H97" s="43" t="s">
        <v>1334</v>
      </c>
      <c r="I97" s="43" t="s">
        <v>1335</v>
      </c>
      <c r="J97" s="51"/>
    </row>
    <row r="98" spans="2:10">
      <c r="B98" s="41" t="s">
        <v>615</v>
      </c>
      <c r="C98" s="42" t="s">
        <v>1336</v>
      </c>
      <c r="D98" s="43" t="s">
        <v>1337</v>
      </c>
      <c r="E98" s="43" t="s">
        <v>1338</v>
      </c>
      <c r="F98" s="43" t="s">
        <v>836</v>
      </c>
      <c r="G98" s="43" t="s">
        <v>1339</v>
      </c>
      <c r="H98" s="43" t="s">
        <v>1339</v>
      </c>
      <c r="I98" s="43" t="s">
        <v>1340</v>
      </c>
      <c r="J98" s="46"/>
    </row>
    <row r="99" spans="2:10">
      <c r="B99" s="41" t="s">
        <v>239</v>
      </c>
      <c r="C99" s="42" t="s">
        <v>1341</v>
      </c>
      <c r="D99" s="43" t="s">
        <v>1342</v>
      </c>
      <c r="E99" s="43" t="s">
        <v>1343</v>
      </c>
      <c r="F99" s="43" t="s">
        <v>836</v>
      </c>
      <c r="G99" s="43" t="s">
        <v>1344</v>
      </c>
      <c r="H99" s="43" t="s">
        <v>1345</v>
      </c>
      <c r="I99" s="43" t="s">
        <v>1346</v>
      </c>
      <c r="J99" s="46"/>
    </row>
    <row r="100" spans="2:10">
      <c r="B100" s="41" t="s">
        <v>242</v>
      </c>
      <c r="C100" s="42" t="s">
        <v>1336</v>
      </c>
      <c r="D100" s="43" t="s">
        <v>1347</v>
      </c>
      <c r="E100" s="43" t="s">
        <v>1348</v>
      </c>
      <c r="F100" s="43" t="s">
        <v>836</v>
      </c>
      <c r="G100" s="43" t="s">
        <v>1349</v>
      </c>
      <c r="H100" s="43" t="s">
        <v>1349</v>
      </c>
      <c r="I100" s="43" t="s">
        <v>1350</v>
      </c>
      <c r="J100" s="46"/>
    </row>
    <row r="101" spans="2:10">
      <c r="B101" s="41" t="s">
        <v>246</v>
      </c>
      <c r="C101" s="42" t="s">
        <v>1330</v>
      </c>
      <c r="D101" s="43" t="s">
        <v>1351</v>
      </c>
      <c r="E101" s="43" t="s">
        <v>1352</v>
      </c>
      <c r="F101" s="43" t="s">
        <v>849</v>
      </c>
      <c r="G101" s="43">
        <v>77235989</v>
      </c>
      <c r="H101" s="43">
        <v>777310431</v>
      </c>
      <c r="I101" s="43" t="s">
        <v>1353</v>
      </c>
      <c r="J101" s="51"/>
    </row>
    <row r="102" spans="2:10">
      <c r="B102" s="41" t="s">
        <v>248</v>
      </c>
      <c r="C102" s="42" t="s">
        <v>1341</v>
      </c>
      <c r="D102" s="43" t="s">
        <v>1354</v>
      </c>
      <c r="E102" s="43" t="s">
        <v>1355</v>
      </c>
      <c r="F102" s="43" t="s">
        <v>836</v>
      </c>
      <c r="G102" s="43">
        <v>775958862</v>
      </c>
      <c r="H102" s="43">
        <v>777126417</v>
      </c>
      <c r="I102" s="43" t="s">
        <v>1356</v>
      </c>
      <c r="J102" s="46"/>
    </row>
    <row r="103" spans="2:10">
      <c r="B103" s="41" t="s">
        <v>497</v>
      </c>
      <c r="C103" s="42" t="s">
        <v>1357</v>
      </c>
      <c r="D103" s="43" t="s">
        <v>1358</v>
      </c>
      <c r="E103" s="43" t="s">
        <v>1359</v>
      </c>
      <c r="F103" s="43" t="s">
        <v>836</v>
      </c>
      <c r="G103" s="43">
        <v>781528810</v>
      </c>
      <c r="H103" s="43">
        <v>780817581</v>
      </c>
      <c r="I103" s="43" t="s">
        <v>1360</v>
      </c>
      <c r="J103" s="46"/>
    </row>
    <row r="104" spans="2:10">
      <c r="B104" s="41" t="s">
        <v>513</v>
      </c>
      <c r="C104" s="42" t="s">
        <v>1357</v>
      </c>
      <c r="D104" s="43" t="s">
        <v>1361</v>
      </c>
      <c r="E104" s="43" t="s">
        <v>1362</v>
      </c>
      <c r="F104" s="43" t="s">
        <v>836</v>
      </c>
      <c r="G104" s="43">
        <v>795654274</v>
      </c>
      <c r="H104" s="43">
        <v>795654274</v>
      </c>
      <c r="I104" s="43" t="s">
        <v>1363</v>
      </c>
      <c r="J104" s="46"/>
    </row>
    <row r="105" spans="2:10">
      <c r="B105" s="41" t="s">
        <v>525</v>
      </c>
      <c r="C105" s="42" t="s">
        <v>1357</v>
      </c>
      <c r="D105" s="43" t="s">
        <v>1364</v>
      </c>
      <c r="E105" s="43" t="s">
        <v>1365</v>
      </c>
      <c r="F105" s="43" t="s">
        <v>849</v>
      </c>
      <c r="G105" s="43">
        <v>796005868</v>
      </c>
      <c r="H105" s="43">
        <v>796005868</v>
      </c>
      <c r="I105" s="43" t="s">
        <v>1366</v>
      </c>
      <c r="J105" s="51"/>
    </row>
    <row r="106" spans="2:10">
      <c r="B106" s="41" t="s">
        <v>545</v>
      </c>
      <c r="C106" s="42" t="s">
        <v>1357</v>
      </c>
      <c r="D106" s="43" t="s">
        <v>1367</v>
      </c>
      <c r="E106" s="43" t="s">
        <v>1368</v>
      </c>
      <c r="F106" s="43" t="s">
        <v>849</v>
      </c>
      <c r="G106" s="43">
        <v>790809181</v>
      </c>
      <c r="H106" s="43">
        <v>796225388</v>
      </c>
      <c r="I106" s="45" t="s">
        <v>1369</v>
      </c>
      <c r="J106" s="51"/>
    </row>
    <row r="107" spans="2:10">
      <c r="B107" s="41" t="s">
        <v>481</v>
      </c>
      <c r="C107" s="42" t="s">
        <v>1357</v>
      </c>
      <c r="D107" s="43" t="s">
        <v>1370</v>
      </c>
      <c r="E107" s="43" t="s">
        <v>1371</v>
      </c>
      <c r="F107" s="43" t="s">
        <v>836</v>
      </c>
      <c r="G107" s="43">
        <v>785332426</v>
      </c>
      <c r="H107" s="43"/>
      <c r="I107" s="43" t="s">
        <v>1372</v>
      </c>
      <c r="J107" s="46"/>
    </row>
    <row r="108" spans="2:10">
      <c r="B108" s="41" t="s">
        <v>484</v>
      </c>
      <c r="C108" s="42" t="s">
        <v>1357</v>
      </c>
      <c r="D108" s="43" t="s">
        <v>1373</v>
      </c>
      <c r="E108" s="43" t="s">
        <v>1374</v>
      </c>
      <c r="F108" s="43" t="s">
        <v>836</v>
      </c>
      <c r="G108" s="63">
        <v>785896974</v>
      </c>
      <c r="H108" s="42">
        <v>796323090</v>
      </c>
      <c r="I108" s="43" t="s">
        <v>1375</v>
      </c>
      <c r="J108" s="46"/>
    </row>
    <row r="109" spans="2:10">
      <c r="B109" s="41" t="s">
        <v>326</v>
      </c>
      <c r="C109" s="42" t="s">
        <v>1376</v>
      </c>
      <c r="D109" s="43" t="s">
        <v>1377</v>
      </c>
      <c r="E109" s="43" t="s">
        <v>1378</v>
      </c>
      <c r="F109" s="43" t="s">
        <v>836</v>
      </c>
      <c r="G109" s="43" t="s">
        <v>1379</v>
      </c>
      <c r="H109" s="43" t="s">
        <v>1380</v>
      </c>
      <c r="I109" s="43" t="s">
        <v>1381</v>
      </c>
      <c r="J109" s="46"/>
    </row>
    <row r="110" spans="2:10">
      <c r="B110" s="41" t="s">
        <v>338</v>
      </c>
      <c r="C110" s="42" t="s">
        <v>1376</v>
      </c>
      <c r="D110" s="43" t="s">
        <v>1382</v>
      </c>
      <c r="E110" s="43" t="s">
        <v>1383</v>
      </c>
      <c r="F110" s="43" t="s">
        <v>836</v>
      </c>
      <c r="G110" s="43" t="s">
        <v>1384</v>
      </c>
      <c r="H110" s="43" t="s">
        <v>1385</v>
      </c>
      <c r="I110" s="43" t="s">
        <v>1386</v>
      </c>
      <c r="J110" s="46"/>
    </row>
    <row r="111" spans="2:10">
      <c r="B111" s="41" t="s">
        <v>346</v>
      </c>
      <c r="C111" s="42" t="s">
        <v>1376</v>
      </c>
      <c r="D111" s="43" t="s">
        <v>1387</v>
      </c>
      <c r="E111" s="43" t="s">
        <v>1388</v>
      </c>
      <c r="F111" s="43" t="s">
        <v>836</v>
      </c>
      <c r="G111" s="43" t="s">
        <v>1389</v>
      </c>
      <c r="H111" s="43" t="s">
        <v>1390</v>
      </c>
      <c r="I111" s="43" t="s">
        <v>1391</v>
      </c>
      <c r="J111" s="46"/>
    </row>
    <row r="112" spans="2:10">
      <c r="B112" s="41" t="s">
        <v>350</v>
      </c>
      <c r="C112" s="42" t="s">
        <v>1376</v>
      </c>
      <c r="D112" s="43" t="s">
        <v>1392</v>
      </c>
      <c r="E112" s="43" t="s">
        <v>1393</v>
      </c>
      <c r="F112" s="43" t="s">
        <v>836</v>
      </c>
      <c r="G112" s="43" t="s">
        <v>1394</v>
      </c>
      <c r="H112" s="43" t="s">
        <v>1395</v>
      </c>
      <c r="I112" s="43" t="s">
        <v>1396</v>
      </c>
      <c r="J112" s="46"/>
    </row>
    <row r="113" spans="2:11">
      <c r="B113" s="41" t="s">
        <v>425</v>
      </c>
      <c r="C113" s="42" t="s">
        <v>1397</v>
      </c>
      <c r="D113" s="43" t="s">
        <v>1398</v>
      </c>
      <c r="E113" s="43" t="s">
        <v>1399</v>
      </c>
      <c r="F113" s="43" t="s">
        <v>836</v>
      </c>
      <c r="G113" s="43" t="s">
        <v>1400</v>
      </c>
      <c r="H113" s="43" t="s">
        <v>1400</v>
      </c>
      <c r="I113" s="43" t="s">
        <v>1401</v>
      </c>
      <c r="J113" s="46"/>
    </row>
    <row r="114" spans="2:11">
      <c r="B114" s="41" t="s">
        <v>451</v>
      </c>
      <c r="C114" s="42" t="s">
        <v>1397</v>
      </c>
      <c r="D114" s="43" t="s">
        <v>1402</v>
      </c>
      <c r="E114" s="43" t="s">
        <v>1403</v>
      </c>
      <c r="F114" s="43" t="s">
        <v>836</v>
      </c>
      <c r="G114" s="63" t="s">
        <v>1404</v>
      </c>
      <c r="H114" s="42"/>
      <c r="I114" s="43" t="s">
        <v>1405</v>
      </c>
      <c r="J114" s="46"/>
    </row>
    <row r="115" spans="2:11">
      <c r="B115" s="41" t="s">
        <v>1406</v>
      </c>
      <c r="C115" s="42" t="s">
        <v>1407</v>
      </c>
      <c r="D115" s="43" t="s">
        <v>1408</v>
      </c>
      <c r="E115" s="43" t="s">
        <v>1409</v>
      </c>
      <c r="F115" s="43" t="s">
        <v>836</v>
      </c>
      <c r="G115" s="43" t="s">
        <v>1410</v>
      </c>
      <c r="H115" s="43"/>
      <c r="I115" s="43" t="s">
        <v>1411</v>
      </c>
      <c r="J115" s="46"/>
    </row>
    <row r="116" spans="2:11">
      <c r="B116" s="41" t="s">
        <v>1412</v>
      </c>
      <c r="C116" s="42" t="s">
        <v>1407</v>
      </c>
      <c r="D116" s="42" t="s">
        <v>1413</v>
      </c>
      <c r="E116" s="42" t="s">
        <v>1414</v>
      </c>
      <c r="F116" s="43" t="s">
        <v>836</v>
      </c>
      <c r="G116" s="43" t="s">
        <v>1415</v>
      </c>
      <c r="H116" s="43"/>
      <c r="I116" s="43" t="s">
        <v>1416</v>
      </c>
      <c r="J116" s="46"/>
    </row>
    <row r="117" spans="2:11">
      <c r="B117" s="41" t="s">
        <v>1417</v>
      </c>
      <c r="C117" s="42" t="s">
        <v>1407</v>
      </c>
      <c r="D117" s="42" t="s">
        <v>1418</v>
      </c>
      <c r="E117" s="42" t="s">
        <v>1419</v>
      </c>
      <c r="F117" s="43" t="s">
        <v>836</v>
      </c>
      <c r="G117" s="43" t="s">
        <v>1420</v>
      </c>
      <c r="H117" s="43" t="s">
        <v>1421</v>
      </c>
      <c r="I117" s="43" t="s">
        <v>1422</v>
      </c>
      <c r="J117" s="46" t="s">
        <v>1234</v>
      </c>
      <c r="K117" s="64" t="s">
        <v>1422</v>
      </c>
    </row>
    <row r="118" spans="2:11">
      <c r="B118" s="41" t="s">
        <v>1423</v>
      </c>
      <c r="C118" s="42" t="s">
        <v>1407</v>
      </c>
      <c r="D118" s="42" t="s">
        <v>1424</v>
      </c>
      <c r="E118" s="42" t="s">
        <v>1425</v>
      </c>
      <c r="F118" s="43" t="s">
        <v>836</v>
      </c>
      <c r="G118" s="43" t="s">
        <v>1426</v>
      </c>
      <c r="H118" s="43" t="s">
        <v>1427</v>
      </c>
      <c r="I118" s="43" t="s">
        <v>1428</v>
      </c>
      <c r="J118" s="46"/>
    </row>
    <row r="119" spans="2:11">
      <c r="B119" s="41" t="s">
        <v>1429</v>
      </c>
      <c r="C119" s="42" t="s">
        <v>1430</v>
      </c>
      <c r="D119" s="42" t="s">
        <v>1431</v>
      </c>
      <c r="E119" s="42" t="s">
        <v>1432</v>
      </c>
      <c r="F119" s="43" t="s">
        <v>836</v>
      </c>
      <c r="G119" s="43" t="s">
        <v>1433</v>
      </c>
      <c r="H119" s="43" t="s">
        <v>1433</v>
      </c>
      <c r="I119" s="43" t="s">
        <v>1434</v>
      </c>
      <c r="J119" s="46"/>
    </row>
    <row r="120" spans="2:11">
      <c r="B120" s="41" t="s">
        <v>1435</v>
      </c>
      <c r="C120" s="42" t="s">
        <v>1430</v>
      </c>
      <c r="D120" s="42" t="s">
        <v>1436</v>
      </c>
      <c r="E120" s="42" t="s">
        <v>1437</v>
      </c>
      <c r="F120" s="43" t="s">
        <v>836</v>
      </c>
      <c r="G120" s="43" t="s">
        <v>1438</v>
      </c>
      <c r="H120" s="43" t="s">
        <v>1439</v>
      </c>
      <c r="I120" s="43" t="s">
        <v>1440</v>
      </c>
      <c r="J120" s="46"/>
    </row>
    <row r="121" spans="2:11">
      <c r="B121" s="41" t="s">
        <v>1441</v>
      </c>
      <c r="C121" s="48" t="s">
        <v>1407</v>
      </c>
      <c r="D121" s="48" t="s">
        <v>1442</v>
      </c>
      <c r="E121" s="48" t="s">
        <v>1443</v>
      </c>
      <c r="F121" s="49" t="s">
        <v>836</v>
      </c>
      <c r="G121" s="43" t="s">
        <v>1444</v>
      </c>
      <c r="H121" s="43" t="s">
        <v>1445</v>
      </c>
      <c r="I121" s="43" t="s">
        <v>1446</v>
      </c>
      <c r="J121" s="46"/>
    </row>
    <row r="122" spans="2:11">
      <c r="B122" s="41" t="s">
        <v>1447</v>
      </c>
      <c r="C122" s="42" t="s">
        <v>1407</v>
      </c>
      <c r="D122" s="42" t="s">
        <v>1448</v>
      </c>
      <c r="E122" s="42" t="s">
        <v>1449</v>
      </c>
      <c r="F122" s="43" t="s">
        <v>836</v>
      </c>
      <c r="G122" s="43" t="s">
        <v>1450</v>
      </c>
      <c r="H122" s="43" t="s">
        <v>1451</v>
      </c>
      <c r="I122" s="43" t="s">
        <v>1452</v>
      </c>
      <c r="J122" s="46" t="s">
        <v>1234</v>
      </c>
      <c r="K122" s="35" t="s">
        <v>1453</v>
      </c>
    </row>
    <row r="123" spans="2:11">
      <c r="B123" s="41" t="s">
        <v>1454</v>
      </c>
      <c r="C123" s="42" t="s">
        <v>1407</v>
      </c>
      <c r="D123" s="42" t="s">
        <v>1455</v>
      </c>
      <c r="E123" s="42" t="s">
        <v>1456</v>
      </c>
      <c r="F123" s="43" t="s">
        <v>836</v>
      </c>
      <c r="G123" s="43" t="s">
        <v>1457</v>
      </c>
      <c r="H123" s="43" t="s">
        <v>1457</v>
      </c>
      <c r="I123" s="43" t="s">
        <v>1458</v>
      </c>
      <c r="J123" s="46"/>
    </row>
    <row r="124" spans="2:11">
      <c r="B124" s="41" t="s">
        <v>1459</v>
      </c>
      <c r="C124" s="48" t="s">
        <v>1430</v>
      </c>
      <c r="D124" s="48" t="s">
        <v>1460</v>
      </c>
      <c r="E124" s="48" t="s">
        <v>1461</v>
      </c>
      <c r="F124" s="49" t="s">
        <v>836</v>
      </c>
      <c r="G124" s="43" t="s">
        <v>1462</v>
      </c>
      <c r="H124" s="43" t="s">
        <v>1463</v>
      </c>
      <c r="I124" s="43" t="s">
        <v>1464</v>
      </c>
      <c r="J124" s="46"/>
    </row>
    <row r="125" spans="2:11">
      <c r="B125" s="41" t="s">
        <v>1465</v>
      </c>
      <c r="C125" s="42" t="s">
        <v>1407</v>
      </c>
      <c r="D125" s="42" t="s">
        <v>1466</v>
      </c>
      <c r="E125" s="42" t="s">
        <v>1467</v>
      </c>
      <c r="F125" s="43" t="s">
        <v>836</v>
      </c>
      <c r="G125" s="43" t="s">
        <v>1468</v>
      </c>
      <c r="H125" s="43"/>
      <c r="I125" s="43" t="s">
        <v>1469</v>
      </c>
      <c r="J125" s="46"/>
    </row>
    <row r="126" spans="2:11">
      <c r="B126" s="41" t="s">
        <v>1470</v>
      </c>
      <c r="C126" s="42" t="s">
        <v>1430</v>
      </c>
      <c r="D126" s="42" t="s">
        <v>1471</v>
      </c>
      <c r="E126" s="42" t="s">
        <v>1472</v>
      </c>
      <c r="F126" s="43" t="s">
        <v>836</v>
      </c>
      <c r="G126" s="43" t="s">
        <v>1473</v>
      </c>
      <c r="H126" s="43" t="s">
        <v>1474</v>
      </c>
      <c r="I126" s="43" t="s">
        <v>1475</v>
      </c>
      <c r="J126" s="46"/>
    </row>
    <row r="127" spans="2:11">
      <c r="B127" s="41" t="s">
        <v>1476</v>
      </c>
      <c r="C127" s="42" t="s">
        <v>1477</v>
      </c>
      <c r="D127" s="42" t="s">
        <v>1478</v>
      </c>
      <c r="E127" s="42" t="s">
        <v>1479</v>
      </c>
      <c r="F127" s="43" t="s">
        <v>836</v>
      </c>
      <c r="G127" s="43" t="s">
        <v>1480</v>
      </c>
      <c r="H127" s="43" t="s">
        <v>1480</v>
      </c>
      <c r="I127" s="43" t="s">
        <v>1481</v>
      </c>
      <c r="J127" s="46"/>
    </row>
    <row r="128" spans="2:11">
      <c r="B128" s="41" t="s">
        <v>1482</v>
      </c>
      <c r="C128" s="42" t="s">
        <v>1407</v>
      </c>
      <c r="D128" s="42" t="s">
        <v>1483</v>
      </c>
      <c r="E128" s="42" t="s">
        <v>1484</v>
      </c>
      <c r="F128" s="43" t="s">
        <v>836</v>
      </c>
      <c r="G128" s="43" t="s">
        <v>1485</v>
      </c>
      <c r="H128" s="43"/>
      <c r="I128" s="43" t="s">
        <v>1486</v>
      </c>
      <c r="J128" s="46"/>
    </row>
    <row r="129" spans="2:11">
      <c r="B129" s="41" t="s">
        <v>1487</v>
      </c>
      <c r="C129" s="42" t="s">
        <v>1430</v>
      </c>
      <c r="D129" s="43" t="s">
        <v>1488</v>
      </c>
      <c r="E129" s="43" t="s">
        <v>1489</v>
      </c>
      <c r="F129" s="43" t="s">
        <v>836</v>
      </c>
      <c r="G129" s="43" t="s">
        <v>1490</v>
      </c>
      <c r="H129" s="43" t="s">
        <v>1491</v>
      </c>
      <c r="I129" s="43" t="s">
        <v>1492</v>
      </c>
      <c r="J129" s="46"/>
    </row>
    <row r="130" spans="2:11">
      <c r="B130" s="41" t="s">
        <v>1493</v>
      </c>
      <c r="C130" s="42" t="s">
        <v>1407</v>
      </c>
      <c r="D130" s="43" t="s">
        <v>1494</v>
      </c>
      <c r="E130" s="43" t="s">
        <v>1495</v>
      </c>
      <c r="F130" s="43" t="s">
        <v>836</v>
      </c>
      <c r="G130" s="43" t="s">
        <v>1496</v>
      </c>
      <c r="H130" s="43" t="s">
        <v>1497</v>
      </c>
      <c r="I130" s="43" t="s">
        <v>1498</v>
      </c>
      <c r="J130" s="46" t="s">
        <v>1499</v>
      </c>
      <c r="K130" s="62" t="s">
        <v>1500</v>
      </c>
    </row>
    <row r="131" spans="2:11">
      <c r="B131" s="41" t="s">
        <v>1501</v>
      </c>
      <c r="C131" s="42" t="s">
        <v>1430</v>
      </c>
      <c r="D131" s="43" t="s">
        <v>1502</v>
      </c>
      <c r="E131" s="43" t="s">
        <v>1503</v>
      </c>
      <c r="F131" s="43" t="s">
        <v>836</v>
      </c>
      <c r="G131" s="43" t="s">
        <v>1504</v>
      </c>
      <c r="H131" s="43"/>
      <c r="I131" s="43" t="s">
        <v>1505</v>
      </c>
      <c r="J131" s="46"/>
    </row>
    <row r="132" spans="2:11">
      <c r="B132" s="41" t="s">
        <v>1506</v>
      </c>
      <c r="C132" s="42" t="s">
        <v>1407</v>
      </c>
      <c r="D132" s="43" t="s">
        <v>1507</v>
      </c>
      <c r="E132" s="43" t="s">
        <v>750</v>
      </c>
      <c r="F132" s="43" t="s">
        <v>836</v>
      </c>
      <c r="G132" s="43" t="s">
        <v>1508</v>
      </c>
      <c r="H132" s="43" t="s">
        <v>1509</v>
      </c>
      <c r="I132" s="43" t="s">
        <v>1510</v>
      </c>
      <c r="J132" s="46"/>
    </row>
    <row r="133" spans="2:11">
      <c r="B133" s="41" t="s">
        <v>1511</v>
      </c>
      <c r="C133" s="42" t="s">
        <v>1430</v>
      </c>
      <c r="D133" s="43" t="s">
        <v>1512</v>
      </c>
      <c r="E133" s="43" t="s">
        <v>1513</v>
      </c>
      <c r="F133" s="43" t="s">
        <v>836</v>
      </c>
      <c r="G133" s="43" t="s">
        <v>1514</v>
      </c>
      <c r="H133" s="43" t="s">
        <v>1514</v>
      </c>
      <c r="I133" s="43" t="s">
        <v>1515</v>
      </c>
      <c r="J133" s="46"/>
    </row>
    <row r="134" spans="2:11">
      <c r="B134" s="41" t="s">
        <v>1516</v>
      </c>
      <c r="C134" s="42" t="s">
        <v>1430</v>
      </c>
      <c r="D134" s="42" t="s">
        <v>1517</v>
      </c>
      <c r="E134" s="42" t="s">
        <v>1518</v>
      </c>
      <c r="F134" s="43" t="s">
        <v>836</v>
      </c>
      <c r="G134" s="43" t="s">
        <v>1519</v>
      </c>
      <c r="H134" s="43" t="s">
        <v>1520</v>
      </c>
      <c r="I134" s="43" t="s">
        <v>1521</v>
      </c>
      <c r="J134" s="46"/>
    </row>
    <row r="135" spans="2:11">
      <c r="B135" s="41" t="s">
        <v>1522</v>
      </c>
      <c r="C135" s="42" t="s">
        <v>1407</v>
      </c>
      <c r="D135" s="42" t="s">
        <v>1523</v>
      </c>
      <c r="E135" s="42" t="s">
        <v>1524</v>
      </c>
      <c r="F135" s="43" t="s">
        <v>836</v>
      </c>
      <c r="G135" s="43" t="s">
        <v>1525</v>
      </c>
      <c r="H135" s="43"/>
      <c r="I135" s="43" t="s">
        <v>1526</v>
      </c>
      <c r="J135" s="46"/>
    </row>
    <row r="136" spans="2:11">
      <c r="B136" s="41" t="s">
        <v>1527</v>
      </c>
      <c r="C136" s="42" t="s">
        <v>1430</v>
      </c>
      <c r="D136" s="42" t="s">
        <v>1528</v>
      </c>
      <c r="E136" s="42" t="s">
        <v>1529</v>
      </c>
      <c r="F136" s="43" t="s">
        <v>836</v>
      </c>
      <c r="G136" s="43" t="s">
        <v>1530</v>
      </c>
      <c r="H136" s="43" t="s">
        <v>1531</v>
      </c>
      <c r="I136" s="43" t="s">
        <v>1532</v>
      </c>
      <c r="J136" s="46"/>
    </row>
    <row r="137" spans="2:11">
      <c r="B137" s="41" t="s">
        <v>1533</v>
      </c>
      <c r="C137" s="42" t="s">
        <v>1407</v>
      </c>
      <c r="D137" s="42" t="s">
        <v>1534</v>
      </c>
      <c r="E137" s="42" t="s">
        <v>1535</v>
      </c>
      <c r="F137" s="43" t="s">
        <v>836</v>
      </c>
      <c r="G137" s="43" t="s">
        <v>1536</v>
      </c>
      <c r="H137" s="43"/>
      <c r="I137" s="43" t="s">
        <v>1537</v>
      </c>
      <c r="J137" s="46"/>
    </row>
    <row r="138" spans="2:11">
      <c r="B138" s="41" t="s">
        <v>1538</v>
      </c>
      <c r="C138" s="42" t="s">
        <v>1430</v>
      </c>
      <c r="D138" s="42" t="s">
        <v>1539</v>
      </c>
      <c r="E138" s="42" t="s">
        <v>974</v>
      </c>
      <c r="F138" s="43" t="s">
        <v>836</v>
      </c>
      <c r="G138" s="43" t="s">
        <v>975</v>
      </c>
      <c r="H138" s="43" t="s">
        <v>975</v>
      </c>
      <c r="I138" s="43" t="s">
        <v>976</v>
      </c>
      <c r="J138" s="46"/>
    </row>
    <row r="139" spans="2:11">
      <c r="B139" s="41" t="s">
        <v>1540</v>
      </c>
      <c r="C139" s="42" t="s">
        <v>1407</v>
      </c>
      <c r="D139" s="42" t="s">
        <v>1541</v>
      </c>
      <c r="E139" s="42" t="s">
        <v>1542</v>
      </c>
      <c r="F139" s="43" t="s">
        <v>836</v>
      </c>
      <c r="G139" s="43" t="s">
        <v>1543</v>
      </c>
      <c r="H139" s="43" t="s">
        <v>1544</v>
      </c>
      <c r="I139" s="43" t="s">
        <v>1545</v>
      </c>
      <c r="J139" s="46"/>
    </row>
    <row r="140" spans="2:11">
      <c r="B140" s="41" t="s">
        <v>1546</v>
      </c>
      <c r="C140" s="42" t="s">
        <v>1430</v>
      </c>
      <c r="D140" s="42" t="s">
        <v>1547</v>
      </c>
      <c r="E140" s="42" t="s">
        <v>1548</v>
      </c>
      <c r="F140" s="43" t="s">
        <v>836</v>
      </c>
      <c r="G140" s="43" t="s">
        <v>1549</v>
      </c>
      <c r="H140" s="43" t="s">
        <v>1550</v>
      </c>
      <c r="I140" s="43" t="s">
        <v>1551</v>
      </c>
      <c r="J140" s="46"/>
    </row>
    <row r="141" spans="2:11">
      <c r="B141" s="41" t="s">
        <v>1552</v>
      </c>
      <c r="C141" s="42" t="s">
        <v>1407</v>
      </c>
      <c r="D141" s="42" t="s">
        <v>1553</v>
      </c>
      <c r="E141" s="42" t="s">
        <v>1554</v>
      </c>
      <c r="F141" s="43" t="s">
        <v>836</v>
      </c>
      <c r="G141" s="43" t="s">
        <v>1555</v>
      </c>
      <c r="H141" s="43"/>
      <c r="I141" s="43" t="s">
        <v>1556</v>
      </c>
      <c r="J141" s="46"/>
    </row>
    <row r="142" spans="2:11">
      <c r="B142" s="41" t="s">
        <v>1557</v>
      </c>
      <c r="C142" s="42" t="s">
        <v>1430</v>
      </c>
      <c r="D142" s="42" t="s">
        <v>1558</v>
      </c>
      <c r="E142" s="42" t="s">
        <v>1559</v>
      </c>
      <c r="F142" s="43" t="s">
        <v>836</v>
      </c>
      <c r="G142" s="43" t="s">
        <v>1560</v>
      </c>
      <c r="H142" s="43" t="s">
        <v>1561</v>
      </c>
      <c r="I142" s="43" t="s">
        <v>1562</v>
      </c>
      <c r="J142" s="46"/>
    </row>
    <row r="143" spans="2:11">
      <c r="B143" s="41" t="s">
        <v>1563</v>
      </c>
      <c r="C143" s="42" t="s">
        <v>1407</v>
      </c>
      <c r="D143" s="42" t="s">
        <v>1564</v>
      </c>
      <c r="E143" s="42" t="s">
        <v>716</v>
      </c>
      <c r="F143" s="43" t="s">
        <v>836</v>
      </c>
      <c r="G143" s="43" t="s">
        <v>1565</v>
      </c>
      <c r="H143" s="43" t="s">
        <v>1566</v>
      </c>
      <c r="I143" s="43" t="s">
        <v>1567</v>
      </c>
      <c r="J143" s="46"/>
    </row>
    <row r="144" spans="2:11">
      <c r="B144" s="41" t="s">
        <v>1568</v>
      </c>
      <c r="C144" s="42" t="s">
        <v>1136</v>
      </c>
      <c r="D144" s="42" t="s">
        <v>1569</v>
      </c>
      <c r="E144" s="42" t="s">
        <v>1570</v>
      </c>
      <c r="F144" s="43" t="s">
        <v>836</v>
      </c>
      <c r="G144" s="43" t="s">
        <v>1571</v>
      </c>
      <c r="H144" s="43"/>
      <c r="I144" s="43" t="s">
        <v>1572</v>
      </c>
      <c r="J144" s="46"/>
    </row>
    <row r="145" spans="2:10">
      <c r="B145" s="41" t="s">
        <v>1573</v>
      </c>
      <c r="C145" s="42" t="s">
        <v>1136</v>
      </c>
      <c r="D145" s="42" t="s">
        <v>1574</v>
      </c>
      <c r="E145" s="42" t="s">
        <v>1575</v>
      </c>
      <c r="F145" s="43" t="s">
        <v>836</v>
      </c>
      <c r="G145" s="43" t="s">
        <v>1576</v>
      </c>
      <c r="H145" s="43" t="s">
        <v>1577</v>
      </c>
      <c r="I145" s="43" t="s">
        <v>1578</v>
      </c>
      <c r="J145" s="46"/>
    </row>
    <row r="146" spans="2:10">
      <c r="B146" s="41" t="s">
        <v>1579</v>
      </c>
      <c r="C146" s="42" t="s">
        <v>1136</v>
      </c>
      <c r="D146" s="43" t="s">
        <v>1580</v>
      </c>
      <c r="E146" s="43" t="s">
        <v>1581</v>
      </c>
      <c r="F146" s="43" t="s">
        <v>836</v>
      </c>
      <c r="G146" s="43" t="s">
        <v>1582</v>
      </c>
      <c r="H146" s="43"/>
      <c r="I146" s="43" t="s">
        <v>1583</v>
      </c>
      <c r="J146" s="46"/>
    </row>
    <row r="147" spans="2:10">
      <c r="B147" s="41" t="s">
        <v>1584</v>
      </c>
      <c r="C147" s="42" t="s">
        <v>1136</v>
      </c>
      <c r="D147" s="43" t="s">
        <v>1585</v>
      </c>
      <c r="E147" s="43" t="s">
        <v>1586</v>
      </c>
      <c r="F147" s="43" t="s">
        <v>836</v>
      </c>
      <c r="G147" s="43" t="s">
        <v>1587</v>
      </c>
      <c r="H147" s="43" t="s">
        <v>1588</v>
      </c>
      <c r="I147" s="43" t="s">
        <v>1589</v>
      </c>
      <c r="J147" s="46"/>
    </row>
    <row r="148" spans="2:10">
      <c r="B148" s="41" t="s">
        <v>1590</v>
      </c>
      <c r="C148" s="42" t="s">
        <v>1136</v>
      </c>
      <c r="D148" s="43" t="s">
        <v>1591</v>
      </c>
      <c r="E148" s="43" t="s">
        <v>1592</v>
      </c>
      <c r="F148" s="43" t="s">
        <v>836</v>
      </c>
      <c r="G148" s="43" t="s">
        <v>1593</v>
      </c>
      <c r="H148" s="43"/>
      <c r="I148" s="43" t="s">
        <v>1594</v>
      </c>
      <c r="J148" s="46"/>
    </row>
    <row r="149" spans="2:10">
      <c r="B149" s="41" t="s">
        <v>1595</v>
      </c>
      <c r="C149" s="42" t="s">
        <v>1136</v>
      </c>
      <c r="D149" s="43" t="s">
        <v>1596</v>
      </c>
      <c r="E149" s="43" t="s">
        <v>1597</v>
      </c>
      <c r="F149" s="43" t="s">
        <v>836</v>
      </c>
      <c r="G149" s="43" t="s">
        <v>1598</v>
      </c>
      <c r="H149" s="43" t="s">
        <v>1599</v>
      </c>
      <c r="I149" s="43" t="s">
        <v>1600</v>
      </c>
      <c r="J149" s="46"/>
    </row>
    <row r="150" spans="2:10">
      <c r="B150" s="41" t="s">
        <v>1601</v>
      </c>
      <c r="C150" s="42" t="s">
        <v>1136</v>
      </c>
      <c r="D150" s="43" t="s">
        <v>1602</v>
      </c>
      <c r="E150" s="43" t="s">
        <v>1603</v>
      </c>
      <c r="F150" s="43" t="s">
        <v>836</v>
      </c>
      <c r="G150" s="43" t="s">
        <v>1604</v>
      </c>
      <c r="H150" s="43"/>
      <c r="I150" s="43" t="s">
        <v>1605</v>
      </c>
      <c r="J150" s="46"/>
    </row>
    <row r="151" spans="2:10">
      <c r="B151" s="41" t="s">
        <v>1606</v>
      </c>
      <c r="C151" s="42" t="s">
        <v>1430</v>
      </c>
      <c r="D151" s="43" t="s">
        <v>1607</v>
      </c>
      <c r="E151" s="43" t="s">
        <v>1608</v>
      </c>
      <c r="F151" s="43" t="s">
        <v>836</v>
      </c>
      <c r="G151" s="43" t="s">
        <v>1609</v>
      </c>
      <c r="H151" s="43" t="s">
        <v>1609</v>
      </c>
      <c r="I151" s="43" t="s">
        <v>1610</v>
      </c>
      <c r="J151" s="46"/>
    </row>
    <row r="152" spans="2:10">
      <c r="B152" s="41" t="s">
        <v>1611</v>
      </c>
      <c r="C152" s="42" t="s">
        <v>1612</v>
      </c>
      <c r="D152" s="43" t="s">
        <v>1613</v>
      </c>
      <c r="E152" s="43" t="s">
        <v>1614</v>
      </c>
      <c r="F152" s="43" t="s">
        <v>849</v>
      </c>
      <c r="G152" s="43" t="s">
        <v>1615</v>
      </c>
      <c r="H152" s="43" t="s">
        <v>1616</v>
      </c>
      <c r="I152" s="43" t="s">
        <v>1617</v>
      </c>
      <c r="J152" s="51"/>
    </row>
    <row r="153" spans="2:10">
      <c r="B153" s="41" t="s">
        <v>1618</v>
      </c>
      <c r="C153" s="42" t="s">
        <v>1612</v>
      </c>
      <c r="D153" s="43" t="s">
        <v>1619</v>
      </c>
      <c r="E153" s="43" t="s">
        <v>1620</v>
      </c>
      <c r="F153" s="43" t="s">
        <v>849</v>
      </c>
      <c r="G153" s="43" t="s">
        <v>1621</v>
      </c>
      <c r="H153" s="43" t="s">
        <v>1622</v>
      </c>
      <c r="I153" s="43" t="s">
        <v>1621</v>
      </c>
      <c r="J153" s="51"/>
    </row>
    <row r="154" spans="2:10">
      <c r="B154" s="41" t="s">
        <v>1623</v>
      </c>
      <c r="C154" s="42" t="s">
        <v>1612</v>
      </c>
      <c r="D154" s="43" t="s">
        <v>1624</v>
      </c>
      <c r="E154" s="43" t="s">
        <v>1625</v>
      </c>
      <c r="F154" s="43" t="s">
        <v>849</v>
      </c>
      <c r="G154" s="43" t="s">
        <v>1626</v>
      </c>
      <c r="H154" s="43" t="s">
        <v>1627</v>
      </c>
      <c r="I154" s="43" t="s">
        <v>1628</v>
      </c>
      <c r="J154" s="51"/>
    </row>
    <row r="155" spans="2:10">
      <c r="B155" s="41" t="s">
        <v>1629</v>
      </c>
      <c r="C155" s="42" t="s">
        <v>1612</v>
      </c>
      <c r="D155" s="43" t="s">
        <v>1630</v>
      </c>
      <c r="E155" s="43" t="s">
        <v>1631</v>
      </c>
      <c r="F155" s="43" t="s">
        <v>849</v>
      </c>
      <c r="G155" s="43" t="s">
        <v>1632</v>
      </c>
      <c r="H155" s="43" t="s">
        <v>1632</v>
      </c>
      <c r="I155" s="43" t="s">
        <v>1628</v>
      </c>
      <c r="J155" s="51"/>
    </row>
    <row r="156" spans="2:10">
      <c r="B156" s="41" t="s">
        <v>1633</v>
      </c>
      <c r="C156" s="42" t="s">
        <v>1612</v>
      </c>
      <c r="D156" s="43" t="s">
        <v>1634</v>
      </c>
      <c r="E156" s="43" t="s">
        <v>1635</v>
      </c>
      <c r="F156" s="43" t="s">
        <v>849</v>
      </c>
      <c r="G156" s="43" t="s">
        <v>1636</v>
      </c>
      <c r="H156" s="43" t="s">
        <v>1636</v>
      </c>
      <c r="I156" s="43" t="s">
        <v>1637</v>
      </c>
      <c r="J156" s="51"/>
    </row>
    <row r="157" spans="2:10">
      <c r="B157" s="41" t="s">
        <v>1638</v>
      </c>
      <c r="C157" s="42" t="s">
        <v>1612</v>
      </c>
      <c r="D157" s="43" t="s">
        <v>1639</v>
      </c>
      <c r="E157" s="43" t="s">
        <v>1640</v>
      </c>
      <c r="F157" s="43" t="s">
        <v>849</v>
      </c>
      <c r="G157" s="43" t="s">
        <v>1641</v>
      </c>
      <c r="H157" s="43" t="s">
        <v>1642</v>
      </c>
      <c r="I157" s="43" t="s">
        <v>1643</v>
      </c>
      <c r="J157" s="51"/>
    </row>
    <row r="158" spans="2:10">
      <c r="B158" s="41" t="s">
        <v>1644</v>
      </c>
      <c r="C158" s="42" t="s">
        <v>1612</v>
      </c>
      <c r="D158" s="43" t="s">
        <v>1645</v>
      </c>
      <c r="E158" s="43" t="s">
        <v>47</v>
      </c>
      <c r="F158" s="43" t="s">
        <v>849</v>
      </c>
      <c r="G158" s="43" t="s">
        <v>1646</v>
      </c>
      <c r="H158" s="43" t="s">
        <v>1647</v>
      </c>
      <c r="I158" s="43" t="s">
        <v>1648</v>
      </c>
      <c r="J158" s="51"/>
    </row>
    <row r="159" spans="2:10">
      <c r="B159" s="41" t="s">
        <v>1649</v>
      </c>
      <c r="C159" s="42" t="s">
        <v>1612</v>
      </c>
      <c r="D159" s="43" t="s">
        <v>1650</v>
      </c>
      <c r="E159" s="43" t="s">
        <v>1651</v>
      </c>
      <c r="F159" s="43" t="s">
        <v>849</v>
      </c>
      <c r="G159" s="43" t="s">
        <v>1652</v>
      </c>
      <c r="H159" s="43" t="s">
        <v>1653</v>
      </c>
      <c r="I159" s="43" t="s">
        <v>1654</v>
      </c>
      <c r="J159" s="51"/>
    </row>
    <row r="160" spans="2:10">
      <c r="B160" s="41" t="s">
        <v>1655</v>
      </c>
      <c r="C160" s="42" t="s">
        <v>1612</v>
      </c>
      <c r="D160" s="43" t="s">
        <v>1656</v>
      </c>
      <c r="E160" s="43" t="s">
        <v>1657</v>
      </c>
      <c r="F160" s="43" t="s">
        <v>849</v>
      </c>
      <c r="G160" s="43" t="s">
        <v>1658</v>
      </c>
      <c r="H160" s="43" t="s">
        <v>1659</v>
      </c>
      <c r="I160" s="43" t="s">
        <v>1660</v>
      </c>
      <c r="J160" s="51"/>
    </row>
    <row r="161" spans="2:10">
      <c r="B161" s="41" t="s">
        <v>1661</v>
      </c>
      <c r="C161" s="42" t="s">
        <v>1612</v>
      </c>
      <c r="D161" s="43" t="s">
        <v>1662</v>
      </c>
      <c r="E161" s="43" t="s">
        <v>1663</v>
      </c>
      <c r="F161" s="43" t="s">
        <v>849</v>
      </c>
      <c r="G161" s="43" t="s">
        <v>1664</v>
      </c>
      <c r="H161" s="43" t="s">
        <v>1665</v>
      </c>
      <c r="I161" s="43" t="s">
        <v>1666</v>
      </c>
      <c r="J161" s="51"/>
    </row>
    <row r="162" spans="2:10">
      <c r="B162" s="41" t="s">
        <v>1667</v>
      </c>
      <c r="C162" s="42" t="s">
        <v>1612</v>
      </c>
      <c r="D162" s="43" t="s">
        <v>1668</v>
      </c>
      <c r="E162" s="43" t="s">
        <v>1669</v>
      </c>
      <c r="F162" s="43" t="s">
        <v>849</v>
      </c>
      <c r="G162" s="43" t="s">
        <v>1670</v>
      </c>
      <c r="H162" s="43" t="s">
        <v>1671</v>
      </c>
      <c r="I162" s="43" t="s">
        <v>1672</v>
      </c>
      <c r="J162" s="51"/>
    </row>
    <row r="163" spans="2:10">
      <c r="B163" s="41" t="s">
        <v>1673</v>
      </c>
      <c r="C163" s="42" t="s">
        <v>1612</v>
      </c>
      <c r="D163" s="43" t="s">
        <v>1674</v>
      </c>
      <c r="E163" s="43" t="s">
        <v>1675</v>
      </c>
      <c r="F163" s="43" t="s">
        <v>849</v>
      </c>
      <c r="G163" s="43" t="s">
        <v>1676</v>
      </c>
      <c r="H163" s="43" t="s">
        <v>1676</v>
      </c>
      <c r="I163" s="43" t="s">
        <v>1677</v>
      </c>
      <c r="J163" s="51"/>
    </row>
    <row r="164" spans="2:10">
      <c r="B164" s="41" t="s">
        <v>1678</v>
      </c>
      <c r="C164" s="42" t="s">
        <v>1612</v>
      </c>
      <c r="D164" s="43" t="s">
        <v>1679</v>
      </c>
      <c r="E164" s="43" t="s">
        <v>1680</v>
      </c>
      <c r="F164" s="43" t="s">
        <v>849</v>
      </c>
      <c r="G164" s="43" t="s">
        <v>1681</v>
      </c>
      <c r="H164" s="43" t="s">
        <v>1682</v>
      </c>
      <c r="I164" s="43" t="s">
        <v>1683</v>
      </c>
      <c r="J164" s="51"/>
    </row>
    <row r="165" spans="2:10">
      <c r="B165" s="41" t="s">
        <v>1684</v>
      </c>
      <c r="C165" s="42" t="s">
        <v>1612</v>
      </c>
      <c r="D165" s="43" t="s">
        <v>1685</v>
      </c>
      <c r="E165" s="43" t="s">
        <v>1686</v>
      </c>
      <c r="F165" s="43" t="s">
        <v>849</v>
      </c>
      <c r="G165" s="43" t="s">
        <v>1687</v>
      </c>
      <c r="H165" s="43" t="s">
        <v>1688</v>
      </c>
      <c r="I165" s="43" t="s">
        <v>1689</v>
      </c>
      <c r="J165" s="51"/>
    </row>
    <row r="166" spans="2:10">
      <c r="B166" s="41" t="s">
        <v>1690</v>
      </c>
      <c r="C166" s="42" t="s">
        <v>1612</v>
      </c>
      <c r="D166" s="43" t="s">
        <v>1691</v>
      </c>
      <c r="E166" s="43" t="s">
        <v>1692</v>
      </c>
      <c r="F166" s="43" t="s">
        <v>849</v>
      </c>
      <c r="G166" s="43" t="s">
        <v>1693</v>
      </c>
      <c r="H166" s="43" t="s">
        <v>1694</v>
      </c>
      <c r="I166" s="43" t="s">
        <v>1695</v>
      </c>
      <c r="J166" s="51"/>
    </row>
    <row r="167" spans="2:10">
      <c r="B167" s="41" t="s">
        <v>1696</v>
      </c>
      <c r="C167" s="42" t="s">
        <v>1612</v>
      </c>
      <c r="D167" s="43" t="s">
        <v>1697</v>
      </c>
      <c r="E167" s="43" t="s">
        <v>1640</v>
      </c>
      <c r="F167" s="43" t="s">
        <v>849</v>
      </c>
      <c r="G167" s="43" t="s">
        <v>1698</v>
      </c>
      <c r="H167" s="43" t="s">
        <v>1699</v>
      </c>
      <c r="I167" s="43" t="s">
        <v>1700</v>
      </c>
      <c r="J167" s="51"/>
    </row>
    <row r="168" spans="2:10">
      <c r="B168" s="41" t="s">
        <v>1701</v>
      </c>
      <c r="C168" s="42" t="s">
        <v>1612</v>
      </c>
      <c r="D168" s="43" t="s">
        <v>1702</v>
      </c>
      <c r="E168" s="43" t="s">
        <v>1703</v>
      </c>
      <c r="F168" s="43" t="s">
        <v>849</v>
      </c>
      <c r="G168" s="43" t="s">
        <v>1704</v>
      </c>
      <c r="H168" s="43" t="s">
        <v>1704</v>
      </c>
      <c r="I168" s="43" t="s">
        <v>1705</v>
      </c>
      <c r="J168" s="51"/>
    </row>
    <row r="169" spans="2:10">
      <c r="B169" s="41" t="s">
        <v>1706</v>
      </c>
      <c r="C169" s="42" t="s">
        <v>1612</v>
      </c>
      <c r="D169" s="43" t="s">
        <v>1707</v>
      </c>
      <c r="E169" s="43" t="s">
        <v>1708</v>
      </c>
      <c r="F169" s="43" t="s">
        <v>849</v>
      </c>
      <c r="G169" s="43" t="s">
        <v>1709</v>
      </c>
      <c r="H169" s="43" t="s">
        <v>1709</v>
      </c>
      <c r="I169" s="43" t="s">
        <v>1695</v>
      </c>
      <c r="J169" s="51"/>
    </row>
    <row r="170" spans="2:10">
      <c r="B170" s="41" t="s">
        <v>1710</v>
      </c>
      <c r="C170" s="42" t="s">
        <v>1612</v>
      </c>
      <c r="D170" s="43" t="s">
        <v>1711</v>
      </c>
      <c r="E170" s="43" t="s">
        <v>1712</v>
      </c>
      <c r="F170" s="43" t="s">
        <v>849</v>
      </c>
      <c r="G170" s="43" t="s">
        <v>1713</v>
      </c>
      <c r="H170" s="43" t="s">
        <v>1714</v>
      </c>
      <c r="I170" s="43" t="s">
        <v>1715</v>
      </c>
      <c r="J170" s="51"/>
    </row>
    <row r="171" spans="2:10">
      <c r="B171" s="41" t="s">
        <v>1716</v>
      </c>
      <c r="C171" s="42" t="s">
        <v>1612</v>
      </c>
      <c r="D171" s="43" t="s">
        <v>1717</v>
      </c>
      <c r="E171" s="43" t="s">
        <v>1718</v>
      </c>
      <c r="F171" s="43" t="s">
        <v>849</v>
      </c>
      <c r="G171" s="43" t="s">
        <v>1719</v>
      </c>
      <c r="H171" s="43" t="s">
        <v>1719</v>
      </c>
      <c r="I171" s="43" t="s">
        <v>1719</v>
      </c>
      <c r="J171" s="51"/>
    </row>
    <row r="172" spans="2:10">
      <c r="B172" s="41" t="s">
        <v>1720</v>
      </c>
      <c r="C172" s="42" t="s">
        <v>1612</v>
      </c>
      <c r="D172" s="43" t="s">
        <v>1721</v>
      </c>
      <c r="E172" s="43" t="s">
        <v>1722</v>
      </c>
      <c r="F172" s="43" t="s">
        <v>849</v>
      </c>
      <c r="G172" s="43" t="s">
        <v>1723</v>
      </c>
      <c r="H172" s="43" t="s">
        <v>1723</v>
      </c>
      <c r="I172" s="43" t="s">
        <v>1724</v>
      </c>
      <c r="J172" s="51"/>
    </row>
    <row r="173" spans="2:10">
      <c r="B173" s="41" t="s">
        <v>1725</v>
      </c>
      <c r="C173" s="42" t="s">
        <v>1612</v>
      </c>
      <c r="D173" s="43" t="s">
        <v>1726</v>
      </c>
      <c r="E173" s="43" t="s">
        <v>1718</v>
      </c>
      <c r="F173" s="43" t="s">
        <v>849</v>
      </c>
      <c r="G173" s="43" t="s">
        <v>1727</v>
      </c>
      <c r="H173" s="43" t="s">
        <v>1728</v>
      </c>
      <c r="I173" s="43" t="s">
        <v>1729</v>
      </c>
      <c r="J173" s="51"/>
    </row>
    <row r="174" spans="2:10">
      <c r="B174" s="41" t="s">
        <v>1730</v>
      </c>
      <c r="C174" s="42" t="s">
        <v>1612</v>
      </c>
      <c r="D174" s="43" t="s">
        <v>1731</v>
      </c>
      <c r="E174" s="43" t="s">
        <v>1732</v>
      </c>
      <c r="F174" s="43" t="s">
        <v>849</v>
      </c>
      <c r="G174" s="43" t="s">
        <v>1733</v>
      </c>
      <c r="H174" s="43" t="s">
        <v>1734</v>
      </c>
      <c r="I174" s="43" t="s">
        <v>1735</v>
      </c>
      <c r="J174" s="51"/>
    </row>
    <row r="175" spans="2:10">
      <c r="B175" s="41" t="s">
        <v>1736</v>
      </c>
      <c r="C175" s="42" t="s">
        <v>1612</v>
      </c>
      <c r="D175" s="43" t="s">
        <v>1737</v>
      </c>
      <c r="E175" s="43" t="s">
        <v>1738</v>
      </c>
      <c r="F175" s="43" t="s">
        <v>849</v>
      </c>
      <c r="G175" s="43" t="s">
        <v>1739</v>
      </c>
      <c r="H175" s="43" t="s">
        <v>1740</v>
      </c>
      <c r="I175" s="43" t="s">
        <v>1741</v>
      </c>
      <c r="J175" s="51"/>
    </row>
    <row r="176" spans="2:10">
      <c r="B176" s="41" t="s">
        <v>1742</v>
      </c>
      <c r="C176" s="42" t="s">
        <v>1612</v>
      </c>
      <c r="D176" s="43" t="s">
        <v>1743</v>
      </c>
      <c r="E176" s="43" t="s">
        <v>1744</v>
      </c>
      <c r="F176" s="43" t="s">
        <v>849</v>
      </c>
      <c r="G176" s="43" t="s">
        <v>1745</v>
      </c>
      <c r="H176" s="43" t="s">
        <v>1745</v>
      </c>
      <c r="I176" s="43" t="s">
        <v>1746</v>
      </c>
      <c r="J176" s="51"/>
    </row>
    <row r="177" spans="2:10">
      <c r="B177" s="41" t="s">
        <v>1747</v>
      </c>
      <c r="C177" s="42" t="s">
        <v>1612</v>
      </c>
      <c r="D177" s="43" t="s">
        <v>1748</v>
      </c>
      <c r="E177" s="43" t="s">
        <v>1749</v>
      </c>
      <c r="F177" s="43" t="s">
        <v>849</v>
      </c>
      <c r="G177" s="43" t="s">
        <v>1750</v>
      </c>
      <c r="H177" s="43" t="s">
        <v>1751</v>
      </c>
      <c r="I177" s="43" t="s">
        <v>1752</v>
      </c>
      <c r="J177" s="51"/>
    </row>
    <row r="178" spans="2:10">
      <c r="B178" s="41" t="s">
        <v>1753</v>
      </c>
      <c r="C178" s="42" t="s">
        <v>1612</v>
      </c>
      <c r="D178" s="43" t="s">
        <v>1754</v>
      </c>
      <c r="E178" s="43" t="s">
        <v>1755</v>
      </c>
      <c r="F178" s="43" t="s">
        <v>849</v>
      </c>
      <c r="G178" s="43" t="s">
        <v>1756</v>
      </c>
      <c r="H178" s="43"/>
      <c r="I178" s="43" t="s">
        <v>1757</v>
      </c>
      <c r="J178" s="51"/>
    </row>
    <row r="179" spans="2:10">
      <c r="B179" s="41" t="s">
        <v>1758</v>
      </c>
      <c r="C179" s="42" t="s">
        <v>1612</v>
      </c>
      <c r="D179" s="43" t="s">
        <v>1759</v>
      </c>
      <c r="E179" s="43" t="s">
        <v>1760</v>
      </c>
      <c r="F179" s="43" t="s">
        <v>849</v>
      </c>
      <c r="G179" s="43" t="s">
        <v>1761</v>
      </c>
      <c r="H179" s="43" t="s">
        <v>1761</v>
      </c>
      <c r="I179" s="43" t="s">
        <v>1735</v>
      </c>
      <c r="J179" s="51"/>
    </row>
    <row r="180" spans="2:10">
      <c r="B180" s="41" t="s">
        <v>1762</v>
      </c>
      <c r="C180" s="42" t="s">
        <v>1612</v>
      </c>
      <c r="D180" s="43" t="s">
        <v>1763</v>
      </c>
      <c r="E180" s="43" t="s">
        <v>1764</v>
      </c>
      <c r="F180" s="43" t="s">
        <v>849</v>
      </c>
      <c r="G180" s="43" t="s">
        <v>1765</v>
      </c>
      <c r="H180" s="43" t="s">
        <v>1766</v>
      </c>
      <c r="I180" s="43" t="s">
        <v>1765</v>
      </c>
      <c r="J180" s="51"/>
    </row>
    <row r="181" spans="2:10">
      <c r="B181" s="41" t="s">
        <v>1767</v>
      </c>
      <c r="C181" s="42" t="s">
        <v>1768</v>
      </c>
      <c r="D181" s="43" t="s">
        <v>1769</v>
      </c>
      <c r="E181" s="43" t="s">
        <v>725</v>
      </c>
      <c r="F181" s="43" t="s">
        <v>836</v>
      </c>
      <c r="G181" s="43">
        <v>779988644</v>
      </c>
      <c r="H181" s="43">
        <v>779916011</v>
      </c>
      <c r="I181" s="43" t="s">
        <v>1770</v>
      </c>
      <c r="J181" s="46"/>
    </row>
    <row r="182" spans="2:10">
      <c r="B182" s="41" t="s">
        <v>1771</v>
      </c>
      <c r="C182" s="42" t="s">
        <v>1772</v>
      </c>
      <c r="D182" s="43" t="s">
        <v>1773</v>
      </c>
      <c r="E182" s="43" t="s">
        <v>1774</v>
      </c>
      <c r="F182" s="43" t="s">
        <v>849</v>
      </c>
      <c r="G182" s="43" t="s">
        <v>1775</v>
      </c>
      <c r="H182" s="43" t="s">
        <v>1775</v>
      </c>
      <c r="I182" s="43" t="s">
        <v>1776</v>
      </c>
      <c r="J182" s="51"/>
    </row>
    <row r="183" spans="2:10">
      <c r="B183" s="41" t="s">
        <v>1777</v>
      </c>
      <c r="C183" s="42" t="s">
        <v>1772</v>
      </c>
      <c r="D183" s="43" t="s">
        <v>1778</v>
      </c>
      <c r="E183" s="43" t="s">
        <v>1779</v>
      </c>
      <c r="F183" s="43" t="s">
        <v>849</v>
      </c>
      <c r="G183" s="43" t="s">
        <v>1780</v>
      </c>
      <c r="H183" s="43" t="s">
        <v>1781</v>
      </c>
      <c r="I183" s="43" t="s">
        <v>1782</v>
      </c>
      <c r="J183" s="51"/>
    </row>
    <row r="184" spans="2:10">
      <c r="B184" s="41" t="s">
        <v>1783</v>
      </c>
      <c r="C184" s="42" t="s">
        <v>1772</v>
      </c>
      <c r="D184" s="43" t="s">
        <v>1784</v>
      </c>
      <c r="E184" s="43" t="s">
        <v>1785</v>
      </c>
      <c r="F184" s="43" t="s">
        <v>849</v>
      </c>
      <c r="G184" s="43" t="s">
        <v>1786</v>
      </c>
      <c r="H184" s="43" t="s">
        <v>1787</v>
      </c>
      <c r="I184" s="43" t="s">
        <v>1788</v>
      </c>
      <c r="J184" s="51"/>
    </row>
    <row r="185" spans="2:10">
      <c r="B185" s="41" t="s">
        <v>1789</v>
      </c>
      <c r="C185" s="42" t="s">
        <v>1772</v>
      </c>
      <c r="D185" s="43" t="s">
        <v>1790</v>
      </c>
      <c r="E185" s="43" t="s">
        <v>1791</v>
      </c>
      <c r="F185" s="43" t="s">
        <v>849</v>
      </c>
      <c r="G185" s="43" t="s">
        <v>1792</v>
      </c>
      <c r="H185" s="43" t="s">
        <v>1793</v>
      </c>
      <c r="I185" s="43" t="s">
        <v>1794</v>
      </c>
      <c r="J185" s="51"/>
    </row>
    <row r="186" spans="2:10">
      <c r="B186" s="41" t="s">
        <v>1795</v>
      </c>
      <c r="C186" s="42" t="s">
        <v>1772</v>
      </c>
      <c r="D186" s="43" t="s">
        <v>1796</v>
      </c>
      <c r="E186" s="43" t="s">
        <v>1797</v>
      </c>
      <c r="F186" s="43" t="s">
        <v>849</v>
      </c>
      <c r="G186" s="43" t="s">
        <v>1798</v>
      </c>
      <c r="H186" s="43" t="s">
        <v>1798</v>
      </c>
      <c r="I186" s="43" t="s">
        <v>1799</v>
      </c>
      <c r="J186" s="51"/>
    </row>
    <row r="187" spans="2:10">
      <c r="B187" s="41" t="s">
        <v>1800</v>
      </c>
      <c r="C187" s="42" t="s">
        <v>1772</v>
      </c>
      <c r="D187" s="43" t="s">
        <v>1801</v>
      </c>
      <c r="E187" s="43" t="s">
        <v>1802</v>
      </c>
      <c r="F187" s="43" t="s">
        <v>849</v>
      </c>
      <c r="G187" s="43" t="s">
        <v>1803</v>
      </c>
      <c r="H187" s="43" t="s">
        <v>1804</v>
      </c>
      <c r="I187" s="43" t="s">
        <v>1805</v>
      </c>
      <c r="J187" s="51"/>
    </row>
    <row r="188" spans="2:10">
      <c r="B188" s="41" t="s">
        <v>1806</v>
      </c>
      <c r="C188" s="42" t="s">
        <v>1772</v>
      </c>
      <c r="D188" s="43" t="s">
        <v>1807</v>
      </c>
      <c r="E188" s="43" t="s">
        <v>1808</v>
      </c>
      <c r="F188" s="43" t="s">
        <v>849</v>
      </c>
      <c r="G188" s="43" t="s">
        <v>1809</v>
      </c>
      <c r="H188" s="43" t="s">
        <v>1810</v>
      </c>
      <c r="I188" s="43" t="s">
        <v>1811</v>
      </c>
      <c r="J188" s="51"/>
    </row>
    <row r="189" spans="2:10">
      <c r="B189" s="41" t="s">
        <v>1812</v>
      </c>
      <c r="C189" s="42" t="s">
        <v>1772</v>
      </c>
      <c r="D189" s="43" t="s">
        <v>1813</v>
      </c>
      <c r="E189" s="43" t="s">
        <v>1814</v>
      </c>
      <c r="F189" s="43" t="s">
        <v>849</v>
      </c>
      <c r="G189" s="43" t="s">
        <v>1815</v>
      </c>
      <c r="H189" s="43" t="s">
        <v>1816</v>
      </c>
      <c r="I189" s="43" t="s">
        <v>1817</v>
      </c>
      <c r="J189" s="51"/>
    </row>
    <row r="190" spans="2:10">
      <c r="B190" s="41" t="s">
        <v>1818</v>
      </c>
      <c r="C190" s="42" t="s">
        <v>1819</v>
      </c>
      <c r="D190" s="43" t="s">
        <v>1820</v>
      </c>
      <c r="E190" s="43" t="s">
        <v>1821</v>
      </c>
      <c r="F190" s="43" t="s">
        <v>836</v>
      </c>
      <c r="G190" s="43" t="s">
        <v>1822</v>
      </c>
      <c r="H190" s="43" t="s">
        <v>1822</v>
      </c>
      <c r="I190" s="43" t="s">
        <v>1823</v>
      </c>
      <c r="J190" s="46" t="s">
        <v>1234</v>
      </c>
    </row>
    <row r="191" spans="2:10">
      <c r="B191" s="41" t="s">
        <v>1824</v>
      </c>
      <c r="C191" s="42" t="s">
        <v>1772</v>
      </c>
      <c r="D191" s="43" t="s">
        <v>1825</v>
      </c>
      <c r="E191" s="43" t="s">
        <v>1826</v>
      </c>
      <c r="F191" s="43" t="s">
        <v>849</v>
      </c>
      <c r="G191" s="43" t="s">
        <v>1827</v>
      </c>
      <c r="H191" s="43" t="s">
        <v>1828</v>
      </c>
      <c r="I191" s="43" t="s">
        <v>1421</v>
      </c>
      <c r="J191" s="51"/>
    </row>
    <row r="192" spans="2:10">
      <c r="B192" s="41" t="s">
        <v>1829</v>
      </c>
      <c r="C192" s="42" t="s">
        <v>1772</v>
      </c>
      <c r="D192" s="43" t="s">
        <v>1830</v>
      </c>
      <c r="E192" s="43" t="s">
        <v>1831</v>
      </c>
      <c r="F192" s="43" t="s">
        <v>849</v>
      </c>
      <c r="G192" s="43" t="s">
        <v>1832</v>
      </c>
      <c r="H192" s="43" t="s">
        <v>1832</v>
      </c>
      <c r="I192" s="43" t="s">
        <v>1833</v>
      </c>
      <c r="J192" s="51"/>
    </row>
    <row r="193" spans="2:10">
      <c r="B193" s="41" t="s">
        <v>1834</v>
      </c>
      <c r="C193" s="42" t="s">
        <v>1772</v>
      </c>
      <c r="D193" s="43" t="s">
        <v>1835</v>
      </c>
      <c r="E193" s="43" t="s">
        <v>1836</v>
      </c>
      <c r="F193" s="43" t="s">
        <v>849</v>
      </c>
      <c r="G193" s="43" t="s">
        <v>1837</v>
      </c>
      <c r="H193" s="43" t="s">
        <v>1838</v>
      </c>
      <c r="I193" s="43" t="s">
        <v>1839</v>
      </c>
      <c r="J193" s="51"/>
    </row>
    <row r="194" spans="2:10">
      <c r="B194" s="41" t="s">
        <v>1840</v>
      </c>
      <c r="C194" s="42" t="s">
        <v>1772</v>
      </c>
      <c r="D194" s="43" t="s">
        <v>1841</v>
      </c>
      <c r="E194" s="43" t="s">
        <v>1842</v>
      </c>
      <c r="F194" s="43" t="s">
        <v>849</v>
      </c>
      <c r="G194" s="43" t="s">
        <v>1843</v>
      </c>
      <c r="H194" s="43" t="s">
        <v>1844</v>
      </c>
      <c r="I194" s="43" t="s">
        <v>1845</v>
      </c>
      <c r="J194" s="51"/>
    </row>
    <row r="195" spans="2:10">
      <c r="B195" s="41" t="s">
        <v>1846</v>
      </c>
      <c r="C195" s="42" t="s">
        <v>1772</v>
      </c>
      <c r="D195" s="43" t="s">
        <v>1847</v>
      </c>
      <c r="E195" s="43" t="s">
        <v>1848</v>
      </c>
      <c r="F195" s="43" t="s">
        <v>849</v>
      </c>
      <c r="G195" s="43" t="s">
        <v>1849</v>
      </c>
      <c r="H195" s="43" t="s">
        <v>1850</v>
      </c>
      <c r="I195" s="43" t="s">
        <v>1851</v>
      </c>
      <c r="J195" s="51"/>
    </row>
    <row r="196" spans="2:10">
      <c r="B196" s="41" t="s">
        <v>1852</v>
      </c>
      <c r="C196" s="42" t="s">
        <v>1853</v>
      </c>
      <c r="D196" s="43" t="s">
        <v>1854</v>
      </c>
      <c r="E196" s="43" t="s">
        <v>1855</v>
      </c>
      <c r="F196" s="43" t="s">
        <v>849</v>
      </c>
      <c r="G196" s="43">
        <v>788718329</v>
      </c>
      <c r="H196" s="43">
        <v>788718329</v>
      </c>
      <c r="I196" s="43" t="s">
        <v>1856</v>
      </c>
      <c r="J196" s="51"/>
    </row>
    <row r="197" spans="2:10">
      <c r="B197" s="41" t="s">
        <v>1857</v>
      </c>
      <c r="C197" s="42" t="s">
        <v>1612</v>
      </c>
      <c r="D197" s="43" t="s">
        <v>1858</v>
      </c>
      <c r="E197" s="43" t="s">
        <v>1859</v>
      </c>
      <c r="F197" s="43" t="s">
        <v>849</v>
      </c>
      <c r="G197" s="43">
        <v>776450585</v>
      </c>
      <c r="H197" s="43">
        <v>776450585</v>
      </c>
      <c r="I197" s="43" t="s">
        <v>1860</v>
      </c>
      <c r="J197" s="51"/>
    </row>
    <row r="198" spans="2:10">
      <c r="B198" s="41" t="s">
        <v>1861</v>
      </c>
      <c r="C198" s="42" t="s">
        <v>1612</v>
      </c>
      <c r="D198" s="43" t="s">
        <v>1862</v>
      </c>
      <c r="E198" s="43" t="s">
        <v>1863</v>
      </c>
      <c r="F198" s="43" t="s">
        <v>836</v>
      </c>
      <c r="G198" s="43">
        <v>772603424</v>
      </c>
      <c r="H198" s="43">
        <v>791862426</v>
      </c>
      <c r="I198" s="43" t="s">
        <v>1864</v>
      </c>
      <c r="J198" s="46"/>
    </row>
    <row r="199" spans="2:10">
      <c r="B199" s="41" t="s">
        <v>1865</v>
      </c>
      <c r="C199" s="42" t="s">
        <v>1612</v>
      </c>
      <c r="D199" s="43" t="s">
        <v>1866</v>
      </c>
      <c r="E199" s="43" t="s">
        <v>1867</v>
      </c>
      <c r="F199" s="43" t="s">
        <v>849</v>
      </c>
      <c r="G199" s="43">
        <v>792879127</v>
      </c>
      <c r="H199" s="43">
        <v>778545146</v>
      </c>
      <c r="I199" s="43" t="s">
        <v>1868</v>
      </c>
      <c r="J199" s="51"/>
    </row>
    <row r="200" spans="2:10">
      <c r="B200" s="41" t="s">
        <v>1869</v>
      </c>
      <c r="C200" s="42" t="s">
        <v>1612</v>
      </c>
      <c r="D200" s="43" t="s">
        <v>1870</v>
      </c>
      <c r="E200" s="43" t="s">
        <v>1871</v>
      </c>
      <c r="F200" s="43" t="s">
        <v>849</v>
      </c>
      <c r="G200" s="43">
        <v>776790355</v>
      </c>
      <c r="H200" s="43">
        <v>772696707</v>
      </c>
      <c r="I200" s="43" t="s">
        <v>1872</v>
      </c>
      <c r="J200" s="51"/>
    </row>
    <row r="201" spans="2:10">
      <c r="B201" s="41" t="s">
        <v>1873</v>
      </c>
      <c r="C201" s="42" t="s">
        <v>1612</v>
      </c>
      <c r="D201" s="43" t="s">
        <v>1874</v>
      </c>
      <c r="E201" s="43" t="s">
        <v>1875</v>
      </c>
      <c r="F201" s="43" t="s">
        <v>849</v>
      </c>
      <c r="G201" s="43">
        <v>777495392</v>
      </c>
      <c r="H201" s="43">
        <v>777404277</v>
      </c>
      <c r="I201" s="43" t="s">
        <v>1876</v>
      </c>
      <c r="J201" s="51"/>
    </row>
    <row r="202" spans="2:10">
      <c r="B202" s="41" t="s">
        <v>1877</v>
      </c>
      <c r="C202" s="42" t="s">
        <v>1612</v>
      </c>
      <c r="D202" s="43" t="s">
        <v>1878</v>
      </c>
      <c r="E202" s="43" t="s">
        <v>1879</v>
      </c>
      <c r="F202" s="43" t="s">
        <v>849</v>
      </c>
      <c r="G202" s="43">
        <v>787878964</v>
      </c>
      <c r="H202" s="43">
        <v>787224075</v>
      </c>
      <c r="I202" s="43" t="s">
        <v>1880</v>
      </c>
      <c r="J202" s="51"/>
    </row>
    <row r="203" spans="2:10">
      <c r="B203" s="41" t="s">
        <v>1881</v>
      </c>
      <c r="C203" s="42" t="s">
        <v>1612</v>
      </c>
      <c r="D203" s="43" t="s">
        <v>1882</v>
      </c>
      <c r="E203" s="43" t="s">
        <v>1883</v>
      </c>
      <c r="F203" s="43" t="s">
        <v>849</v>
      </c>
      <c r="G203" s="43">
        <v>795089181</v>
      </c>
      <c r="H203" s="43">
        <v>775818799</v>
      </c>
      <c r="I203" s="43" t="s">
        <v>1884</v>
      </c>
      <c r="J203" s="51"/>
    </row>
    <row r="204" spans="2:10">
      <c r="B204" s="41" t="s">
        <v>1885</v>
      </c>
      <c r="C204" s="42" t="s">
        <v>1612</v>
      </c>
      <c r="D204" s="43" t="s">
        <v>1886</v>
      </c>
      <c r="E204" s="43" t="s">
        <v>1887</v>
      </c>
      <c r="F204" s="43" t="s">
        <v>849</v>
      </c>
      <c r="G204" s="43">
        <v>772450691</v>
      </c>
      <c r="H204" s="43">
        <v>777120124</v>
      </c>
      <c r="I204" s="43" t="s">
        <v>1888</v>
      </c>
      <c r="J204" s="51"/>
    </row>
    <row r="205" spans="2:10">
      <c r="B205" s="41" t="s">
        <v>1889</v>
      </c>
      <c r="C205" s="42" t="s">
        <v>1853</v>
      </c>
      <c r="D205" s="43" t="s">
        <v>1890</v>
      </c>
      <c r="E205" s="43" t="s">
        <v>1891</v>
      </c>
      <c r="F205" s="43" t="s">
        <v>836</v>
      </c>
      <c r="G205" s="43">
        <v>770615212</v>
      </c>
      <c r="H205" s="43">
        <v>770615212</v>
      </c>
      <c r="I205" s="43" t="s">
        <v>1892</v>
      </c>
      <c r="J205" s="46"/>
    </row>
    <row r="206" spans="2:10">
      <c r="B206" s="41" t="s">
        <v>1893</v>
      </c>
      <c r="C206" s="42" t="s">
        <v>1612</v>
      </c>
      <c r="D206" s="43" t="s">
        <v>1894</v>
      </c>
      <c r="E206" s="43" t="s">
        <v>1895</v>
      </c>
      <c r="F206" s="43" t="s">
        <v>849</v>
      </c>
      <c r="G206" s="43">
        <v>786701206</v>
      </c>
      <c r="H206" s="43">
        <v>786701206</v>
      </c>
      <c r="I206" s="43" t="s">
        <v>1896</v>
      </c>
      <c r="J206" s="51"/>
    </row>
    <row r="207" spans="2:10">
      <c r="B207" s="41" t="s">
        <v>1897</v>
      </c>
      <c r="C207" s="42" t="s">
        <v>1098</v>
      </c>
      <c r="D207" s="43" t="s">
        <v>1898</v>
      </c>
      <c r="E207" s="43" t="s">
        <v>1899</v>
      </c>
      <c r="F207" s="43" t="s">
        <v>836</v>
      </c>
      <c r="G207" s="43" t="s">
        <v>1900</v>
      </c>
      <c r="H207" s="43"/>
      <c r="I207" s="43" t="s">
        <v>1901</v>
      </c>
      <c r="J207" s="46"/>
    </row>
    <row r="208" spans="2:10">
      <c r="B208" s="41" t="s">
        <v>1902</v>
      </c>
      <c r="C208" s="42" t="s">
        <v>1098</v>
      </c>
      <c r="D208" s="43" t="s">
        <v>1903</v>
      </c>
      <c r="E208" s="43" t="s">
        <v>1904</v>
      </c>
      <c r="F208" s="43" t="s">
        <v>836</v>
      </c>
      <c r="G208" s="43" t="s">
        <v>1905</v>
      </c>
      <c r="H208" s="43" t="s">
        <v>1906</v>
      </c>
      <c r="I208" s="43" t="s">
        <v>1907</v>
      </c>
      <c r="J208" s="46"/>
    </row>
    <row r="209" spans="2:10">
      <c r="B209" s="41" t="s">
        <v>1908</v>
      </c>
      <c r="C209" s="42" t="s">
        <v>1098</v>
      </c>
      <c r="D209" s="43" t="s">
        <v>1909</v>
      </c>
      <c r="E209" s="43" t="s">
        <v>1910</v>
      </c>
      <c r="F209" s="43" t="s">
        <v>836</v>
      </c>
      <c r="G209" s="43" t="s">
        <v>1911</v>
      </c>
      <c r="H209" s="43" t="s">
        <v>1912</v>
      </c>
      <c r="I209" s="43" t="s">
        <v>1913</v>
      </c>
      <c r="J209" s="46"/>
    </row>
    <row r="210" spans="2:10">
      <c r="B210" s="41" t="s">
        <v>1914</v>
      </c>
      <c r="C210" s="42" t="s">
        <v>1098</v>
      </c>
      <c r="D210" s="43" t="s">
        <v>1915</v>
      </c>
      <c r="E210" s="43" t="s">
        <v>1916</v>
      </c>
      <c r="F210" s="43" t="s">
        <v>836</v>
      </c>
      <c r="G210" s="43" t="s">
        <v>1917</v>
      </c>
      <c r="H210" s="43" t="s">
        <v>1918</v>
      </c>
      <c r="I210" s="43" t="s">
        <v>1919</v>
      </c>
      <c r="J210" s="46"/>
    </row>
    <row r="211" spans="2:10">
      <c r="B211" s="41" t="s">
        <v>1920</v>
      </c>
      <c r="C211" s="42" t="s">
        <v>1098</v>
      </c>
      <c r="D211" s="43" t="s">
        <v>1921</v>
      </c>
      <c r="E211" s="43" t="s">
        <v>1922</v>
      </c>
      <c r="F211" s="43" t="s">
        <v>836</v>
      </c>
      <c r="G211" s="43" t="s">
        <v>1923</v>
      </c>
      <c r="H211" s="43" t="s">
        <v>1924</v>
      </c>
      <c r="I211" s="43" t="s">
        <v>1925</v>
      </c>
      <c r="J211" s="46"/>
    </row>
    <row r="212" spans="2:10">
      <c r="B212" s="41" t="s">
        <v>1926</v>
      </c>
      <c r="C212" s="42" t="s">
        <v>1098</v>
      </c>
      <c r="D212" s="43" t="s">
        <v>1927</v>
      </c>
      <c r="E212" s="43" t="s">
        <v>1928</v>
      </c>
      <c r="F212" s="43" t="s">
        <v>836</v>
      </c>
      <c r="G212" s="43" t="s">
        <v>1929</v>
      </c>
      <c r="H212" s="43" t="s">
        <v>1930</v>
      </c>
      <c r="I212" s="43" t="s">
        <v>1931</v>
      </c>
      <c r="J212" s="46"/>
    </row>
    <row r="213" spans="2:10">
      <c r="B213" s="41" t="s">
        <v>1932</v>
      </c>
      <c r="C213" s="42" t="s">
        <v>1098</v>
      </c>
      <c r="D213" s="43" t="s">
        <v>1933</v>
      </c>
      <c r="E213" s="43" t="s">
        <v>1934</v>
      </c>
      <c r="F213" s="43" t="s">
        <v>836</v>
      </c>
      <c r="G213" s="43" t="s">
        <v>1935</v>
      </c>
      <c r="H213" s="43" t="s">
        <v>1936</v>
      </c>
      <c r="I213" s="43" t="s">
        <v>1937</v>
      </c>
      <c r="J213" s="43" t="s">
        <v>1044</v>
      </c>
    </row>
    <row r="214" spans="2:10">
      <c r="B214" s="41" t="s">
        <v>1938</v>
      </c>
      <c r="C214" s="42" t="s">
        <v>1098</v>
      </c>
      <c r="D214" s="43" t="s">
        <v>1939</v>
      </c>
      <c r="E214" s="43" t="s">
        <v>1940</v>
      </c>
      <c r="F214" s="43" t="s">
        <v>836</v>
      </c>
      <c r="G214" s="43" t="s">
        <v>1941</v>
      </c>
      <c r="H214" s="43" t="s">
        <v>1942</v>
      </c>
      <c r="I214" s="43" t="s">
        <v>1943</v>
      </c>
      <c r="J214" s="46"/>
    </row>
    <row r="215" spans="2:10">
      <c r="B215" s="41" t="s">
        <v>1944</v>
      </c>
      <c r="C215" s="42" t="s">
        <v>1098</v>
      </c>
      <c r="D215" s="43" t="s">
        <v>1945</v>
      </c>
      <c r="E215" s="43" t="s">
        <v>1946</v>
      </c>
      <c r="F215" s="43" t="s">
        <v>836</v>
      </c>
      <c r="G215" s="43" t="s">
        <v>1947</v>
      </c>
      <c r="H215" s="43" t="s">
        <v>1948</v>
      </c>
      <c r="I215" s="43" t="s">
        <v>1949</v>
      </c>
      <c r="J215" s="46"/>
    </row>
    <row r="216" spans="2:10">
      <c r="B216" s="41" t="s">
        <v>1950</v>
      </c>
      <c r="C216" s="42" t="s">
        <v>1098</v>
      </c>
      <c r="D216" s="43" t="s">
        <v>1951</v>
      </c>
      <c r="E216" s="43" t="s">
        <v>1952</v>
      </c>
      <c r="F216" s="43" t="s">
        <v>836</v>
      </c>
      <c r="G216" s="43" t="s">
        <v>1953</v>
      </c>
      <c r="H216" s="43" t="s">
        <v>1954</v>
      </c>
      <c r="I216" s="43" t="s">
        <v>1955</v>
      </c>
      <c r="J216" s="46"/>
    </row>
    <row r="217" spans="2:10">
      <c r="B217" s="41" t="s">
        <v>1956</v>
      </c>
      <c r="C217" s="42" t="s">
        <v>1098</v>
      </c>
      <c r="D217" s="43" t="s">
        <v>1957</v>
      </c>
      <c r="E217" s="43" t="s">
        <v>1958</v>
      </c>
      <c r="F217" s="43" t="s">
        <v>849</v>
      </c>
      <c r="G217" s="43" t="s">
        <v>1959</v>
      </c>
      <c r="H217" s="43"/>
      <c r="I217" s="43" t="s">
        <v>1960</v>
      </c>
      <c r="J217" s="51"/>
    </row>
    <row r="218" spans="2:10">
      <c r="B218" s="41" t="s">
        <v>1961</v>
      </c>
      <c r="C218" s="42" t="s">
        <v>1098</v>
      </c>
      <c r="D218" s="43" t="s">
        <v>1962</v>
      </c>
      <c r="E218" s="43" t="s">
        <v>1963</v>
      </c>
      <c r="F218" s="43" t="s">
        <v>849</v>
      </c>
      <c r="G218" s="43" t="s">
        <v>1964</v>
      </c>
      <c r="H218" s="43" t="s">
        <v>1965</v>
      </c>
      <c r="I218" s="43" t="s">
        <v>1966</v>
      </c>
      <c r="J218" s="51"/>
    </row>
    <row r="219" spans="2:10">
      <c r="B219" s="41" t="s">
        <v>1967</v>
      </c>
      <c r="C219" s="42" t="s">
        <v>1098</v>
      </c>
      <c r="D219" s="43" t="s">
        <v>1968</v>
      </c>
      <c r="E219" s="43" t="s">
        <v>1969</v>
      </c>
      <c r="F219" s="43" t="s">
        <v>849</v>
      </c>
      <c r="G219" s="43" t="s">
        <v>1970</v>
      </c>
      <c r="H219" s="43"/>
      <c r="I219" s="43" t="s">
        <v>1971</v>
      </c>
      <c r="J219" s="51"/>
    </row>
    <row r="220" spans="2:10">
      <c r="B220" s="41" t="s">
        <v>1972</v>
      </c>
      <c r="C220" s="42" t="s">
        <v>1098</v>
      </c>
      <c r="D220" s="43" t="s">
        <v>1973</v>
      </c>
      <c r="E220" s="43" t="s">
        <v>1974</v>
      </c>
      <c r="F220" s="43" t="s">
        <v>836</v>
      </c>
      <c r="G220" s="43" t="s">
        <v>1975</v>
      </c>
      <c r="H220" s="43" t="s">
        <v>1976</v>
      </c>
      <c r="I220" s="43" t="s">
        <v>1977</v>
      </c>
      <c r="J220" s="46"/>
    </row>
    <row r="221" spans="2:10">
      <c r="B221" s="41" t="s">
        <v>1978</v>
      </c>
      <c r="C221" s="42" t="s">
        <v>1098</v>
      </c>
      <c r="D221" s="43" t="s">
        <v>1979</v>
      </c>
      <c r="E221" s="43" t="s">
        <v>1980</v>
      </c>
      <c r="F221" s="43" t="s">
        <v>836</v>
      </c>
      <c r="G221" s="43" t="s">
        <v>1981</v>
      </c>
      <c r="H221" s="43" t="s">
        <v>1982</v>
      </c>
      <c r="I221" s="43" t="s">
        <v>1983</v>
      </c>
      <c r="J221" s="46"/>
    </row>
    <row r="222" spans="2:10">
      <c r="B222" s="41" t="s">
        <v>1984</v>
      </c>
      <c r="C222" s="42" t="s">
        <v>1098</v>
      </c>
      <c r="D222" s="43" t="s">
        <v>1985</v>
      </c>
      <c r="E222" s="43" t="s">
        <v>1986</v>
      </c>
      <c r="F222" s="43" t="s">
        <v>836</v>
      </c>
      <c r="G222" s="43" t="s">
        <v>1987</v>
      </c>
      <c r="H222" s="43" t="s">
        <v>1988</v>
      </c>
      <c r="I222" s="43" t="s">
        <v>1989</v>
      </c>
      <c r="J222" s="46"/>
    </row>
    <row r="223" spans="2:10">
      <c r="B223" s="41" t="s">
        <v>1990</v>
      </c>
      <c r="C223" s="42" t="s">
        <v>1098</v>
      </c>
      <c r="D223" s="43" t="s">
        <v>1991</v>
      </c>
      <c r="E223" s="43" t="s">
        <v>1992</v>
      </c>
      <c r="F223" s="43" t="s">
        <v>849</v>
      </c>
      <c r="G223" s="43" t="s">
        <v>1993</v>
      </c>
      <c r="H223" s="43"/>
      <c r="I223" s="43" t="s">
        <v>1994</v>
      </c>
      <c r="J223" s="51"/>
    </row>
    <row r="224" spans="2:10">
      <c r="B224" s="41" t="s">
        <v>1995</v>
      </c>
      <c r="C224" s="42" t="s">
        <v>1098</v>
      </c>
      <c r="D224" s="43" t="s">
        <v>1996</v>
      </c>
      <c r="E224" s="43" t="s">
        <v>1997</v>
      </c>
      <c r="F224" s="43" t="s">
        <v>849</v>
      </c>
      <c r="G224" s="43" t="s">
        <v>1998</v>
      </c>
      <c r="H224" s="43" t="s">
        <v>1999</v>
      </c>
      <c r="I224" s="43" t="s">
        <v>2000</v>
      </c>
      <c r="J224" s="51"/>
    </row>
    <row r="225" spans="2:10">
      <c r="B225" s="41" t="s">
        <v>2001</v>
      </c>
      <c r="C225" s="42" t="s">
        <v>1098</v>
      </c>
      <c r="D225" s="43" t="s">
        <v>2002</v>
      </c>
      <c r="E225" s="43" t="s">
        <v>1374</v>
      </c>
      <c r="F225" s="43" t="s">
        <v>836</v>
      </c>
      <c r="G225" s="43" t="s">
        <v>2003</v>
      </c>
      <c r="H225" s="43" t="s">
        <v>2004</v>
      </c>
      <c r="I225" s="43" t="s">
        <v>2005</v>
      </c>
      <c r="J225" s="46"/>
    </row>
    <row r="226" spans="2:10">
      <c r="B226" s="41" t="s">
        <v>2006</v>
      </c>
      <c r="C226" s="42" t="s">
        <v>1098</v>
      </c>
      <c r="D226" s="43" t="s">
        <v>2007</v>
      </c>
      <c r="E226" s="43" t="s">
        <v>2008</v>
      </c>
      <c r="F226" s="43" t="s">
        <v>836</v>
      </c>
      <c r="G226" s="43" t="s">
        <v>2009</v>
      </c>
      <c r="H226" s="43"/>
      <c r="I226" s="43" t="s">
        <v>2010</v>
      </c>
      <c r="J226" s="46"/>
    </row>
    <row r="227" spans="2:10">
      <c r="B227" s="41" t="s">
        <v>2011</v>
      </c>
      <c r="C227" s="42" t="s">
        <v>1098</v>
      </c>
      <c r="D227" s="43" t="s">
        <v>2012</v>
      </c>
      <c r="E227" s="43" t="s">
        <v>2013</v>
      </c>
      <c r="F227" s="43" t="s">
        <v>836</v>
      </c>
      <c r="G227" s="43" t="s">
        <v>2014</v>
      </c>
      <c r="H227" s="43" t="s">
        <v>2015</v>
      </c>
      <c r="I227" s="43" t="s">
        <v>2016</v>
      </c>
      <c r="J227" s="46"/>
    </row>
    <row r="228" spans="2:10">
      <c r="B228" s="41" t="s">
        <v>2017</v>
      </c>
      <c r="C228" s="42" t="s">
        <v>1098</v>
      </c>
      <c r="D228" s="43" t="s">
        <v>2018</v>
      </c>
      <c r="E228" s="43" t="s">
        <v>2019</v>
      </c>
      <c r="F228" s="43" t="s">
        <v>836</v>
      </c>
      <c r="G228" s="43" t="s">
        <v>2020</v>
      </c>
      <c r="H228" s="43" t="s">
        <v>1421</v>
      </c>
      <c r="I228" s="43" t="s">
        <v>2021</v>
      </c>
      <c r="J228" s="46"/>
    </row>
    <row r="229" spans="2:10">
      <c r="B229" s="41" t="s">
        <v>2022</v>
      </c>
      <c r="C229" s="42" t="s">
        <v>1098</v>
      </c>
      <c r="D229" s="43" t="s">
        <v>2023</v>
      </c>
      <c r="E229" s="43" t="s">
        <v>137</v>
      </c>
      <c r="F229" s="43" t="s">
        <v>836</v>
      </c>
      <c r="G229" s="43" t="s">
        <v>2024</v>
      </c>
      <c r="H229" s="43" t="s">
        <v>2025</v>
      </c>
      <c r="I229" s="43" t="s">
        <v>2026</v>
      </c>
      <c r="J229" s="46"/>
    </row>
    <row r="230" spans="2:10">
      <c r="B230" s="41" t="s">
        <v>2027</v>
      </c>
      <c r="C230" s="42" t="s">
        <v>1098</v>
      </c>
      <c r="D230" s="43" t="s">
        <v>2028</v>
      </c>
      <c r="E230" s="43" t="s">
        <v>2029</v>
      </c>
      <c r="F230" s="43" t="s">
        <v>836</v>
      </c>
      <c r="G230" s="43" t="s">
        <v>2030</v>
      </c>
      <c r="H230" s="43"/>
      <c r="I230" s="43" t="s">
        <v>2031</v>
      </c>
      <c r="J230" s="46"/>
    </row>
    <row r="231" spans="2:10">
      <c r="B231" s="41" t="s">
        <v>2032</v>
      </c>
      <c r="C231" s="42" t="s">
        <v>1098</v>
      </c>
      <c r="D231" s="43" t="s">
        <v>2033</v>
      </c>
      <c r="E231" s="43" t="s">
        <v>2034</v>
      </c>
      <c r="F231" s="43" t="s">
        <v>849</v>
      </c>
      <c r="G231" s="43" t="s">
        <v>2035</v>
      </c>
      <c r="H231" s="43"/>
      <c r="I231" s="43" t="s">
        <v>2036</v>
      </c>
      <c r="J231" s="51"/>
    </row>
    <row r="232" spans="2:10">
      <c r="B232" s="41" t="s">
        <v>2037</v>
      </c>
      <c r="C232" s="42" t="s">
        <v>1098</v>
      </c>
      <c r="D232" s="43" t="s">
        <v>2038</v>
      </c>
      <c r="E232" s="43" t="s">
        <v>2039</v>
      </c>
      <c r="F232" s="43" t="s">
        <v>836</v>
      </c>
      <c r="G232" s="43" t="s">
        <v>2040</v>
      </c>
      <c r="H232" s="43"/>
      <c r="I232" s="43" t="s">
        <v>2041</v>
      </c>
      <c r="J232" s="46"/>
    </row>
    <row r="233" spans="2:10">
      <c r="B233" s="41" t="s">
        <v>2042</v>
      </c>
      <c r="C233" s="42" t="s">
        <v>1098</v>
      </c>
      <c r="D233" s="43" t="s">
        <v>2043</v>
      </c>
      <c r="E233" s="43" t="s">
        <v>2044</v>
      </c>
      <c r="F233" s="43" t="s">
        <v>836</v>
      </c>
      <c r="G233" s="43" t="s">
        <v>2045</v>
      </c>
      <c r="H233" s="43"/>
      <c r="I233" s="43" t="s">
        <v>2046</v>
      </c>
      <c r="J233" s="46"/>
    </row>
    <row r="234" spans="2:10">
      <c r="B234" s="41" t="s">
        <v>2047</v>
      </c>
      <c r="C234" s="42" t="s">
        <v>1098</v>
      </c>
      <c r="D234" s="43" t="s">
        <v>2048</v>
      </c>
      <c r="E234" s="43" t="s">
        <v>2049</v>
      </c>
      <c r="F234" s="43" t="s">
        <v>836</v>
      </c>
      <c r="G234" s="43" t="s">
        <v>2050</v>
      </c>
      <c r="H234" s="43" t="s">
        <v>2051</v>
      </c>
      <c r="I234" s="43" t="s">
        <v>2052</v>
      </c>
      <c r="J234" s="46"/>
    </row>
    <row r="235" spans="2:10">
      <c r="B235" s="41" t="s">
        <v>2053</v>
      </c>
      <c r="C235" s="42" t="s">
        <v>1098</v>
      </c>
      <c r="D235" s="43" t="s">
        <v>2054</v>
      </c>
      <c r="E235" s="43" t="s">
        <v>2055</v>
      </c>
      <c r="F235" s="43" t="s">
        <v>836</v>
      </c>
      <c r="G235" s="43" t="s">
        <v>2056</v>
      </c>
      <c r="H235" s="43"/>
      <c r="I235" s="43" t="s">
        <v>2057</v>
      </c>
      <c r="J235" s="46"/>
    </row>
    <row r="236" spans="2:10">
      <c r="B236" s="41" t="s">
        <v>2058</v>
      </c>
      <c r="C236" s="42" t="s">
        <v>1098</v>
      </c>
      <c r="D236" s="43" t="s">
        <v>2059</v>
      </c>
      <c r="E236" s="43" t="s">
        <v>2060</v>
      </c>
      <c r="F236" s="43" t="s">
        <v>836</v>
      </c>
      <c r="G236" s="43" t="s">
        <v>2061</v>
      </c>
      <c r="H236" s="43"/>
      <c r="I236" s="43" t="s">
        <v>2062</v>
      </c>
      <c r="J236" s="46"/>
    </row>
    <row r="237" spans="2:10">
      <c r="B237" s="41" t="s">
        <v>2063</v>
      </c>
      <c r="C237" s="42" t="s">
        <v>1098</v>
      </c>
      <c r="D237" s="43" t="s">
        <v>2064</v>
      </c>
      <c r="E237" s="43" t="s">
        <v>2065</v>
      </c>
      <c r="F237" s="43" t="s">
        <v>849</v>
      </c>
      <c r="G237" s="43" t="s">
        <v>2066</v>
      </c>
      <c r="H237" s="43"/>
      <c r="I237" s="43" t="s">
        <v>2067</v>
      </c>
      <c r="J237" s="51"/>
    </row>
    <row r="238" spans="2:10">
      <c r="B238" s="41" t="s">
        <v>2068</v>
      </c>
      <c r="C238" s="42" t="s">
        <v>1098</v>
      </c>
      <c r="D238" s="43" t="s">
        <v>2069</v>
      </c>
      <c r="E238" s="43">
        <v>-3</v>
      </c>
      <c r="F238" s="43" t="s">
        <v>849</v>
      </c>
      <c r="G238" s="43" t="s">
        <v>2070</v>
      </c>
      <c r="H238" s="43"/>
      <c r="I238" s="43" t="s">
        <v>2071</v>
      </c>
      <c r="J238" s="51"/>
    </row>
    <row r="239" spans="2:10">
      <c r="B239" s="41" t="s">
        <v>2072</v>
      </c>
      <c r="C239" s="42" t="s">
        <v>1098</v>
      </c>
      <c r="D239" s="43" t="s">
        <v>2073</v>
      </c>
      <c r="E239" s="43" t="s">
        <v>2074</v>
      </c>
      <c r="F239" s="43" t="s">
        <v>849</v>
      </c>
      <c r="G239" s="43" t="s">
        <v>2075</v>
      </c>
      <c r="H239" s="43" t="s">
        <v>2076</v>
      </c>
      <c r="I239" s="43" t="s">
        <v>2077</v>
      </c>
      <c r="J239" s="51"/>
    </row>
    <row r="240" spans="2:10">
      <c r="B240" s="41" t="s">
        <v>2078</v>
      </c>
      <c r="C240" s="42" t="s">
        <v>1098</v>
      </c>
      <c r="D240" s="43" t="s">
        <v>2079</v>
      </c>
      <c r="E240" s="43" t="s">
        <v>2080</v>
      </c>
      <c r="F240" s="43" t="s">
        <v>836</v>
      </c>
      <c r="G240" s="43" t="s">
        <v>2081</v>
      </c>
      <c r="H240" s="43" t="s">
        <v>2082</v>
      </c>
      <c r="I240" s="43" t="s">
        <v>2083</v>
      </c>
      <c r="J240" s="46"/>
    </row>
    <row r="241" spans="2:10">
      <c r="B241" s="41" t="s">
        <v>2084</v>
      </c>
      <c r="C241" s="42" t="s">
        <v>1098</v>
      </c>
      <c r="D241" s="43" t="s">
        <v>2085</v>
      </c>
      <c r="E241" s="43" t="s">
        <v>2086</v>
      </c>
      <c r="F241" s="43" t="s">
        <v>836</v>
      </c>
      <c r="G241" s="43" t="s">
        <v>2087</v>
      </c>
      <c r="H241" s="43"/>
      <c r="I241" s="43" t="s">
        <v>2088</v>
      </c>
      <c r="J241" s="46"/>
    </row>
    <row r="242" spans="2:10">
      <c r="B242" s="41" t="s">
        <v>2089</v>
      </c>
      <c r="C242" s="42" t="s">
        <v>1098</v>
      </c>
      <c r="D242" s="43" t="s">
        <v>2090</v>
      </c>
      <c r="E242" s="43" t="s">
        <v>2091</v>
      </c>
      <c r="F242" s="43" t="s">
        <v>849</v>
      </c>
      <c r="G242" s="43" t="s">
        <v>2092</v>
      </c>
      <c r="H242" s="43" t="s">
        <v>2093</v>
      </c>
      <c r="I242" s="43" t="s">
        <v>2094</v>
      </c>
      <c r="J242" s="51"/>
    </row>
    <row r="243" spans="2:10">
      <c r="B243" s="41" t="s">
        <v>2095</v>
      </c>
      <c r="C243" s="42" t="s">
        <v>1098</v>
      </c>
      <c r="D243" s="43" t="s">
        <v>2096</v>
      </c>
      <c r="E243" s="43" t="s">
        <v>2097</v>
      </c>
      <c r="F243" s="43" t="s">
        <v>849</v>
      </c>
      <c r="G243" s="43" t="s">
        <v>2098</v>
      </c>
      <c r="H243" s="43" t="s">
        <v>2099</v>
      </c>
      <c r="I243" s="43" t="s">
        <v>2100</v>
      </c>
      <c r="J243" s="51"/>
    </row>
    <row r="244" spans="2:10">
      <c r="B244" s="41" t="s">
        <v>2101</v>
      </c>
      <c r="C244" s="42" t="s">
        <v>1098</v>
      </c>
      <c r="D244" s="43" t="s">
        <v>2102</v>
      </c>
      <c r="E244" s="43" t="s">
        <v>2103</v>
      </c>
      <c r="F244" s="43" t="s">
        <v>849</v>
      </c>
      <c r="G244" s="43" t="s">
        <v>2104</v>
      </c>
      <c r="H244" s="43"/>
      <c r="I244" s="43" t="s">
        <v>2105</v>
      </c>
      <c r="J244" s="51"/>
    </row>
    <row r="245" spans="2:10">
      <c r="B245" s="41" t="s">
        <v>2106</v>
      </c>
      <c r="C245" s="42" t="s">
        <v>1098</v>
      </c>
      <c r="D245" s="43" t="s">
        <v>2107</v>
      </c>
      <c r="E245" s="43" t="s">
        <v>2108</v>
      </c>
      <c r="F245" s="43" t="s">
        <v>849</v>
      </c>
      <c r="G245" s="43" t="s">
        <v>2109</v>
      </c>
      <c r="H245" s="43"/>
      <c r="I245" s="43" t="s">
        <v>2110</v>
      </c>
      <c r="J245" s="51"/>
    </row>
    <row r="246" spans="2:10">
      <c r="B246" s="41" t="s">
        <v>2111</v>
      </c>
      <c r="C246" s="42" t="s">
        <v>1098</v>
      </c>
      <c r="D246" s="43" t="s">
        <v>2112</v>
      </c>
      <c r="E246" s="43" t="s">
        <v>2113</v>
      </c>
      <c r="F246" s="43" t="s">
        <v>849</v>
      </c>
      <c r="G246" s="43" t="s">
        <v>2114</v>
      </c>
      <c r="H246" s="43"/>
      <c r="I246" s="43"/>
      <c r="J246" s="51"/>
    </row>
    <row r="247" spans="2:10">
      <c r="B247" s="41" t="s">
        <v>2115</v>
      </c>
      <c r="C247" s="42" t="s">
        <v>1098</v>
      </c>
      <c r="D247" s="43" t="s">
        <v>2116</v>
      </c>
      <c r="E247" s="43" t="s">
        <v>2117</v>
      </c>
      <c r="F247" s="43" t="s">
        <v>849</v>
      </c>
      <c r="G247" s="43" t="s">
        <v>2118</v>
      </c>
      <c r="H247" s="43" t="s">
        <v>2119</v>
      </c>
      <c r="I247" s="43" t="s">
        <v>2120</v>
      </c>
      <c r="J247" s="51"/>
    </row>
    <row r="248" spans="2:10">
      <c r="B248" s="41" t="s">
        <v>2121</v>
      </c>
      <c r="C248" s="42" t="s">
        <v>1098</v>
      </c>
      <c r="D248" s="43" t="s">
        <v>2122</v>
      </c>
      <c r="E248" s="43" t="s">
        <v>797</v>
      </c>
      <c r="F248" s="43" t="s">
        <v>849</v>
      </c>
      <c r="G248" s="43" t="s">
        <v>2123</v>
      </c>
      <c r="H248" s="43" t="s">
        <v>2124</v>
      </c>
      <c r="I248" s="43" t="s">
        <v>2125</v>
      </c>
      <c r="J248" s="51"/>
    </row>
    <row r="249" spans="2:10">
      <c r="B249" s="41" t="s">
        <v>2126</v>
      </c>
      <c r="C249" s="42" t="s">
        <v>2127</v>
      </c>
      <c r="D249" s="43" t="s">
        <v>2128</v>
      </c>
      <c r="E249" s="43" t="s">
        <v>697</v>
      </c>
      <c r="F249" s="43" t="s">
        <v>836</v>
      </c>
      <c r="G249" s="43" t="s">
        <v>2129</v>
      </c>
      <c r="H249" s="43"/>
      <c r="I249" s="43" t="s">
        <v>2130</v>
      </c>
      <c r="J249" s="46"/>
    </row>
    <row r="250" spans="2:10">
      <c r="B250" s="41" t="s">
        <v>2131</v>
      </c>
      <c r="C250" s="42" t="s">
        <v>1098</v>
      </c>
      <c r="D250" s="43" t="s">
        <v>2132</v>
      </c>
      <c r="E250" s="43" t="s">
        <v>2133</v>
      </c>
      <c r="F250" s="43" t="s">
        <v>836</v>
      </c>
      <c r="G250" s="43" t="s">
        <v>2134</v>
      </c>
      <c r="H250" s="43" t="s">
        <v>2135</v>
      </c>
      <c r="I250" s="43" t="s">
        <v>2136</v>
      </c>
      <c r="J250" s="46"/>
    </row>
    <row r="251" spans="2:10">
      <c r="B251" s="41" t="s">
        <v>2137</v>
      </c>
      <c r="C251" s="42" t="s">
        <v>1098</v>
      </c>
      <c r="D251" s="43" t="s">
        <v>2138</v>
      </c>
      <c r="E251" s="43" t="s">
        <v>2139</v>
      </c>
      <c r="F251" s="43" t="s">
        <v>836</v>
      </c>
      <c r="G251" s="43" t="s">
        <v>2140</v>
      </c>
      <c r="H251" s="43"/>
      <c r="I251" s="43" t="s">
        <v>2141</v>
      </c>
      <c r="J251" s="46"/>
    </row>
    <row r="252" spans="2:10">
      <c r="B252" s="41" t="s">
        <v>2142</v>
      </c>
      <c r="C252" s="42" t="s">
        <v>1098</v>
      </c>
      <c r="D252" s="43" t="s">
        <v>2143</v>
      </c>
      <c r="E252" s="43" t="s">
        <v>2144</v>
      </c>
      <c r="F252" s="43" t="s">
        <v>836</v>
      </c>
      <c r="G252" s="43" t="s">
        <v>2145</v>
      </c>
      <c r="H252" s="43"/>
      <c r="I252" s="43" t="s">
        <v>2146</v>
      </c>
      <c r="J252" s="46"/>
    </row>
    <row r="253" spans="2:10">
      <c r="B253" s="41" t="s">
        <v>2147</v>
      </c>
      <c r="C253" s="42" t="s">
        <v>1098</v>
      </c>
      <c r="D253" s="43" t="s">
        <v>2148</v>
      </c>
      <c r="E253" s="43" t="s">
        <v>2149</v>
      </c>
      <c r="F253" s="43" t="s">
        <v>836</v>
      </c>
      <c r="G253" s="43" t="s">
        <v>2150</v>
      </c>
      <c r="H253" s="43"/>
      <c r="I253" s="43" t="s">
        <v>2151</v>
      </c>
      <c r="J253" s="46"/>
    </row>
    <row r="254" spans="2:10">
      <c r="B254" s="41" t="s">
        <v>2152</v>
      </c>
      <c r="C254" s="42" t="s">
        <v>1098</v>
      </c>
      <c r="D254" s="43" t="s">
        <v>2153</v>
      </c>
      <c r="E254" s="43" t="s">
        <v>2154</v>
      </c>
      <c r="F254" s="43" t="s">
        <v>836</v>
      </c>
      <c r="G254" s="43" t="s">
        <v>2155</v>
      </c>
      <c r="H254" s="43" t="s">
        <v>2156</v>
      </c>
      <c r="I254" s="43" t="s">
        <v>2157</v>
      </c>
      <c r="J254" s="46"/>
    </row>
    <row r="255" spans="2:10">
      <c r="B255" s="41" t="s">
        <v>2158</v>
      </c>
      <c r="C255" s="42" t="s">
        <v>1098</v>
      </c>
      <c r="D255" s="43" t="s">
        <v>2159</v>
      </c>
      <c r="E255" s="43" t="s">
        <v>2160</v>
      </c>
      <c r="F255" s="43" t="s">
        <v>836</v>
      </c>
      <c r="G255" s="43" t="s">
        <v>2161</v>
      </c>
      <c r="H255" s="43"/>
      <c r="I255" s="43" t="s">
        <v>2162</v>
      </c>
      <c r="J255" s="46"/>
    </row>
    <row r="256" spans="2:10">
      <c r="B256" s="41" t="s">
        <v>2163</v>
      </c>
      <c r="C256" s="42" t="s">
        <v>1098</v>
      </c>
      <c r="D256" s="43" t="s">
        <v>2164</v>
      </c>
      <c r="E256" s="43" t="s">
        <v>2165</v>
      </c>
      <c r="F256" s="43" t="s">
        <v>836</v>
      </c>
      <c r="G256" s="43" t="s">
        <v>2166</v>
      </c>
      <c r="H256" s="43" t="s">
        <v>2167</v>
      </c>
      <c r="I256" s="43" t="s">
        <v>2168</v>
      </c>
      <c r="J256" s="46"/>
    </row>
    <row r="257" spans="2:10">
      <c r="B257" s="41" t="s">
        <v>2169</v>
      </c>
      <c r="C257" s="42" t="s">
        <v>1098</v>
      </c>
      <c r="D257" s="43" t="s">
        <v>2170</v>
      </c>
      <c r="E257" s="43" t="s">
        <v>2171</v>
      </c>
      <c r="F257" s="43" t="s">
        <v>849</v>
      </c>
      <c r="G257" s="43" t="s">
        <v>2172</v>
      </c>
      <c r="H257" s="43"/>
      <c r="I257" s="43" t="s">
        <v>2173</v>
      </c>
      <c r="J257" s="51"/>
    </row>
    <row r="258" spans="2:10">
      <c r="B258" s="41" t="s">
        <v>2174</v>
      </c>
      <c r="C258" s="42" t="s">
        <v>1098</v>
      </c>
      <c r="D258" s="43" t="s">
        <v>2175</v>
      </c>
      <c r="E258" s="43" t="s">
        <v>2176</v>
      </c>
      <c r="F258" s="43" t="s">
        <v>849</v>
      </c>
      <c r="G258" s="43" t="s">
        <v>2177</v>
      </c>
      <c r="H258" s="43" t="s">
        <v>2178</v>
      </c>
      <c r="I258" s="43" t="s">
        <v>2179</v>
      </c>
      <c r="J258" s="51"/>
    </row>
    <row r="259" spans="2:10">
      <c r="B259" s="41" t="s">
        <v>2180</v>
      </c>
      <c r="C259" s="42" t="s">
        <v>1098</v>
      </c>
      <c r="D259" s="43" t="s">
        <v>2181</v>
      </c>
      <c r="E259" s="43" t="s">
        <v>2182</v>
      </c>
      <c r="F259" s="43" t="s">
        <v>849</v>
      </c>
      <c r="G259" s="43" t="s">
        <v>2183</v>
      </c>
      <c r="H259" s="43" t="s">
        <v>2184</v>
      </c>
      <c r="I259" s="43" t="s">
        <v>2185</v>
      </c>
      <c r="J259" s="51"/>
    </row>
    <row r="260" spans="2:10">
      <c r="B260" s="41" t="s">
        <v>2186</v>
      </c>
      <c r="C260" s="42" t="s">
        <v>1098</v>
      </c>
      <c r="D260" s="43" t="s">
        <v>2187</v>
      </c>
      <c r="E260" s="43" t="s">
        <v>2188</v>
      </c>
      <c r="F260" s="43" t="s">
        <v>849</v>
      </c>
      <c r="G260" s="43" t="s">
        <v>2189</v>
      </c>
      <c r="H260" s="43" t="s">
        <v>2190</v>
      </c>
      <c r="I260" s="43" t="s">
        <v>2191</v>
      </c>
      <c r="J260" s="51"/>
    </row>
    <row r="261" spans="2:10">
      <c r="B261" s="41" t="s">
        <v>2192</v>
      </c>
      <c r="C261" s="42" t="s">
        <v>1098</v>
      </c>
      <c r="D261" s="43" t="s">
        <v>2193</v>
      </c>
      <c r="E261" s="43" t="s">
        <v>2194</v>
      </c>
      <c r="F261" s="43" t="s">
        <v>849</v>
      </c>
      <c r="G261" s="43" t="s">
        <v>2195</v>
      </c>
      <c r="H261" s="43" t="s">
        <v>2196</v>
      </c>
      <c r="I261" s="43" t="s">
        <v>2197</v>
      </c>
      <c r="J261" s="51"/>
    </row>
    <row r="262" spans="2:10">
      <c r="B262" s="41" t="s">
        <v>2198</v>
      </c>
      <c r="C262" s="42" t="s">
        <v>1098</v>
      </c>
      <c r="D262" s="43" t="s">
        <v>2199</v>
      </c>
      <c r="E262" s="43" t="s">
        <v>2200</v>
      </c>
      <c r="F262" s="43" t="s">
        <v>849</v>
      </c>
      <c r="G262" s="43" t="s">
        <v>2201</v>
      </c>
      <c r="H262" s="43" t="s">
        <v>2202</v>
      </c>
      <c r="I262" s="43" t="s">
        <v>2203</v>
      </c>
      <c r="J262" s="51"/>
    </row>
    <row r="263" spans="2:10">
      <c r="B263" s="41" t="s">
        <v>2204</v>
      </c>
      <c r="C263" s="42" t="s">
        <v>1098</v>
      </c>
      <c r="D263" s="43" t="s">
        <v>2205</v>
      </c>
      <c r="E263" s="43" t="s">
        <v>2029</v>
      </c>
      <c r="F263" s="43" t="s">
        <v>836</v>
      </c>
      <c r="G263" s="43" t="s">
        <v>2206</v>
      </c>
      <c r="H263" s="43"/>
      <c r="I263" s="43" t="s">
        <v>2207</v>
      </c>
      <c r="J263" s="46"/>
    </row>
    <row r="264" spans="2:10">
      <c r="B264" s="41" t="s">
        <v>2208</v>
      </c>
      <c r="C264" s="42" t="s">
        <v>1098</v>
      </c>
      <c r="D264" s="43" t="s">
        <v>2209</v>
      </c>
      <c r="E264" s="43" t="s">
        <v>2210</v>
      </c>
      <c r="F264" s="43" t="s">
        <v>836</v>
      </c>
      <c r="G264" s="43" t="s">
        <v>2211</v>
      </c>
      <c r="H264" s="43" t="s">
        <v>2212</v>
      </c>
      <c r="I264" s="43" t="s">
        <v>2213</v>
      </c>
      <c r="J264" s="46"/>
    </row>
    <row r="265" spans="2:10">
      <c r="B265" s="41" t="s">
        <v>2214</v>
      </c>
      <c r="C265" s="42" t="s">
        <v>1098</v>
      </c>
      <c r="D265" s="43" t="s">
        <v>2215</v>
      </c>
      <c r="E265" s="43" t="s">
        <v>2216</v>
      </c>
      <c r="F265" s="43" t="s">
        <v>836</v>
      </c>
      <c r="G265" s="43" t="s">
        <v>2217</v>
      </c>
      <c r="H265" s="43"/>
      <c r="I265" s="43" t="s">
        <v>2218</v>
      </c>
      <c r="J265" s="46"/>
    </row>
    <row r="266" spans="2:10">
      <c r="B266" s="41" t="s">
        <v>2219</v>
      </c>
      <c r="C266" s="42" t="s">
        <v>1098</v>
      </c>
      <c r="D266" s="43" t="s">
        <v>2220</v>
      </c>
      <c r="E266" s="43" t="s">
        <v>702</v>
      </c>
      <c r="F266" s="43" t="s">
        <v>836</v>
      </c>
      <c r="G266" s="43" t="s">
        <v>2221</v>
      </c>
      <c r="H266" s="43" t="s">
        <v>2222</v>
      </c>
      <c r="I266" s="43" t="s">
        <v>2223</v>
      </c>
      <c r="J266" s="46"/>
    </row>
    <row r="267" spans="2:10">
      <c r="B267" s="41" t="s">
        <v>2224</v>
      </c>
      <c r="C267" s="42" t="s">
        <v>1098</v>
      </c>
      <c r="D267" s="43" t="s">
        <v>2225</v>
      </c>
      <c r="E267" s="43" t="s">
        <v>703</v>
      </c>
      <c r="F267" s="43" t="s">
        <v>836</v>
      </c>
      <c r="G267" s="43" t="s">
        <v>2226</v>
      </c>
      <c r="H267" s="43" t="s">
        <v>2227</v>
      </c>
      <c r="I267" s="43" t="s">
        <v>2228</v>
      </c>
      <c r="J267" s="46"/>
    </row>
    <row r="268" spans="2:10">
      <c r="B268" s="41" t="s">
        <v>2229</v>
      </c>
      <c r="C268" s="42" t="s">
        <v>1098</v>
      </c>
      <c r="D268" s="43" t="s">
        <v>2230</v>
      </c>
      <c r="E268" s="43" t="s">
        <v>2231</v>
      </c>
      <c r="F268" s="43" t="s">
        <v>849</v>
      </c>
      <c r="G268" s="43" t="s">
        <v>2232</v>
      </c>
      <c r="H268" s="43"/>
      <c r="I268" s="43" t="s">
        <v>2233</v>
      </c>
      <c r="J268" s="51"/>
    </row>
    <row r="269" spans="2:10">
      <c r="B269" s="41" t="s">
        <v>2234</v>
      </c>
      <c r="C269" s="42" t="s">
        <v>1098</v>
      </c>
      <c r="D269" s="43" t="s">
        <v>2235</v>
      </c>
      <c r="E269" s="43" t="s">
        <v>2236</v>
      </c>
      <c r="F269" s="43" t="s">
        <v>836</v>
      </c>
      <c r="G269" s="43" t="s">
        <v>2237</v>
      </c>
      <c r="H269" s="43" t="s">
        <v>2238</v>
      </c>
      <c r="I269" s="43" t="s">
        <v>2239</v>
      </c>
      <c r="J269" s="46"/>
    </row>
    <row r="270" spans="2:10">
      <c r="B270" s="41" t="s">
        <v>2240</v>
      </c>
      <c r="C270" s="42" t="s">
        <v>1098</v>
      </c>
      <c r="D270" s="43" t="s">
        <v>2241</v>
      </c>
      <c r="E270" s="43" t="s">
        <v>2242</v>
      </c>
      <c r="F270" s="43" t="s">
        <v>836</v>
      </c>
      <c r="G270" s="43" t="s">
        <v>2243</v>
      </c>
      <c r="H270" s="43" t="s">
        <v>2244</v>
      </c>
      <c r="I270" s="43" t="s">
        <v>2245</v>
      </c>
      <c r="J270" s="46"/>
    </row>
    <row r="271" spans="2:10">
      <c r="B271" s="41" t="s">
        <v>2246</v>
      </c>
      <c r="C271" s="42" t="s">
        <v>1098</v>
      </c>
      <c r="D271" s="43" t="s">
        <v>2247</v>
      </c>
      <c r="E271" s="43" t="s">
        <v>2248</v>
      </c>
      <c r="F271" s="43" t="s">
        <v>836</v>
      </c>
      <c r="G271" s="43" t="s">
        <v>2249</v>
      </c>
      <c r="H271" s="43"/>
      <c r="I271" s="43" t="s">
        <v>2250</v>
      </c>
      <c r="J271" s="46"/>
    </row>
    <row r="272" spans="2:10">
      <c r="B272" s="41" t="s">
        <v>2251</v>
      </c>
      <c r="C272" s="42" t="s">
        <v>1098</v>
      </c>
      <c r="D272" s="43" t="s">
        <v>2252</v>
      </c>
      <c r="E272" s="43" t="s">
        <v>2253</v>
      </c>
      <c r="F272" s="43" t="s">
        <v>849</v>
      </c>
      <c r="G272" s="43" t="s">
        <v>2254</v>
      </c>
      <c r="H272" s="43"/>
      <c r="I272" s="43" t="s">
        <v>2255</v>
      </c>
      <c r="J272" s="51"/>
    </row>
    <row r="273" spans="2:10">
      <c r="B273" s="41" t="s">
        <v>2256</v>
      </c>
      <c r="C273" s="42" t="s">
        <v>1098</v>
      </c>
      <c r="D273" s="43" t="s">
        <v>2257</v>
      </c>
      <c r="E273" s="43" t="s">
        <v>2258</v>
      </c>
      <c r="F273" s="43" t="s">
        <v>849</v>
      </c>
      <c r="G273" s="43" t="s">
        <v>2259</v>
      </c>
      <c r="H273" s="43" t="s">
        <v>2260</v>
      </c>
      <c r="I273" s="43" t="s">
        <v>2261</v>
      </c>
      <c r="J273" s="51"/>
    </row>
    <row r="274" spans="2:10">
      <c r="B274" s="41" t="s">
        <v>2262</v>
      </c>
      <c r="C274" s="42" t="s">
        <v>1098</v>
      </c>
      <c r="D274" s="43" t="s">
        <v>2263</v>
      </c>
      <c r="E274" s="43" t="s">
        <v>2264</v>
      </c>
      <c r="F274" s="43" t="s">
        <v>836</v>
      </c>
      <c r="G274" s="43" t="s">
        <v>2265</v>
      </c>
      <c r="H274" s="43"/>
      <c r="I274" s="43" t="s">
        <v>2266</v>
      </c>
      <c r="J274" s="46"/>
    </row>
    <row r="275" spans="2:10">
      <c r="B275" s="41" t="s">
        <v>2267</v>
      </c>
      <c r="C275" s="42" t="s">
        <v>1098</v>
      </c>
      <c r="D275" s="43" t="s">
        <v>2268</v>
      </c>
      <c r="E275" s="43" t="s">
        <v>2269</v>
      </c>
      <c r="F275" s="43" t="s">
        <v>836</v>
      </c>
      <c r="G275" s="43" t="s">
        <v>2270</v>
      </c>
      <c r="H275" s="43"/>
      <c r="I275" s="43" t="s">
        <v>2271</v>
      </c>
      <c r="J275" s="46"/>
    </row>
    <row r="276" spans="2:10">
      <c r="B276" s="41" t="s">
        <v>2272</v>
      </c>
      <c r="C276" s="42" t="s">
        <v>1098</v>
      </c>
      <c r="D276" s="43" t="s">
        <v>2273</v>
      </c>
      <c r="E276" s="43" t="s">
        <v>2274</v>
      </c>
      <c r="F276" s="43" t="s">
        <v>849</v>
      </c>
      <c r="G276" s="43" t="s">
        <v>2275</v>
      </c>
      <c r="H276" s="43" t="s">
        <v>2276</v>
      </c>
      <c r="I276" s="43" t="s">
        <v>2277</v>
      </c>
      <c r="J276" s="51"/>
    </row>
    <row r="277" spans="2:10">
      <c r="B277" s="41" t="s">
        <v>2278</v>
      </c>
      <c r="C277" s="42" t="s">
        <v>1098</v>
      </c>
      <c r="D277" s="43" t="s">
        <v>2279</v>
      </c>
      <c r="E277" s="43" t="s">
        <v>2280</v>
      </c>
      <c r="F277" s="43" t="s">
        <v>836</v>
      </c>
      <c r="G277" s="43" t="s">
        <v>2281</v>
      </c>
      <c r="H277" s="43" t="s">
        <v>2282</v>
      </c>
      <c r="I277" s="43" t="s">
        <v>2283</v>
      </c>
      <c r="J277" s="46"/>
    </row>
    <row r="278" spans="2:10">
      <c r="B278" s="41" t="s">
        <v>2284</v>
      </c>
      <c r="C278" s="42" t="s">
        <v>1098</v>
      </c>
      <c r="D278" s="43" t="s">
        <v>2285</v>
      </c>
      <c r="E278" s="43" t="s">
        <v>2286</v>
      </c>
      <c r="F278" s="43" t="s">
        <v>836</v>
      </c>
      <c r="G278" s="43" t="s">
        <v>2287</v>
      </c>
      <c r="H278" s="43" t="s">
        <v>2288</v>
      </c>
      <c r="I278" s="43" t="s">
        <v>2289</v>
      </c>
      <c r="J278" s="46"/>
    </row>
    <row r="279" spans="2:10">
      <c r="B279" s="41" t="s">
        <v>2290</v>
      </c>
      <c r="C279" s="42" t="s">
        <v>1098</v>
      </c>
      <c r="D279" s="43" t="s">
        <v>2291</v>
      </c>
      <c r="E279" s="43" t="s">
        <v>2292</v>
      </c>
      <c r="F279" s="43" t="s">
        <v>849</v>
      </c>
      <c r="G279" s="43" t="s">
        <v>2293</v>
      </c>
      <c r="H279" s="43"/>
      <c r="I279" s="43" t="s">
        <v>2294</v>
      </c>
      <c r="J279" s="51"/>
    </row>
    <row r="280" spans="2:10">
      <c r="B280" s="41" t="s">
        <v>2295</v>
      </c>
      <c r="C280" s="42" t="s">
        <v>1098</v>
      </c>
      <c r="D280" s="43" t="s">
        <v>2296</v>
      </c>
      <c r="E280" s="43" t="s">
        <v>2297</v>
      </c>
      <c r="F280" s="43" t="s">
        <v>836</v>
      </c>
      <c r="G280" s="43" t="s">
        <v>2298</v>
      </c>
      <c r="H280" s="43" t="s">
        <v>2299</v>
      </c>
      <c r="I280" s="43" t="s">
        <v>2300</v>
      </c>
      <c r="J280" s="46"/>
    </row>
    <row r="281" spans="2:10">
      <c r="B281" s="41" t="s">
        <v>2301</v>
      </c>
      <c r="C281" s="42" t="s">
        <v>1098</v>
      </c>
      <c r="D281" s="43" t="s">
        <v>2302</v>
      </c>
      <c r="E281" s="43" t="s">
        <v>2303</v>
      </c>
      <c r="F281" s="43" t="s">
        <v>836</v>
      </c>
      <c r="G281" s="43" t="s">
        <v>2304</v>
      </c>
      <c r="H281" s="43"/>
      <c r="I281" s="43" t="s">
        <v>2305</v>
      </c>
      <c r="J281" s="46"/>
    </row>
    <row r="282" spans="2:10">
      <c r="B282" s="41" t="s">
        <v>2306</v>
      </c>
      <c r="C282" s="42" t="s">
        <v>1098</v>
      </c>
      <c r="D282" s="43" t="s">
        <v>2307</v>
      </c>
      <c r="E282" s="43" t="s">
        <v>2308</v>
      </c>
      <c r="F282" s="43" t="s">
        <v>836</v>
      </c>
      <c r="G282" s="43" t="s">
        <v>2309</v>
      </c>
      <c r="H282" s="43" t="s">
        <v>2310</v>
      </c>
      <c r="I282" s="43" t="s">
        <v>2311</v>
      </c>
      <c r="J282" s="46"/>
    </row>
    <row r="283" spans="2:10">
      <c r="B283" s="41" t="s">
        <v>2312</v>
      </c>
      <c r="C283" s="42" t="s">
        <v>1098</v>
      </c>
      <c r="D283" s="43" t="s">
        <v>2313</v>
      </c>
      <c r="E283" s="55" t="s">
        <v>706</v>
      </c>
      <c r="F283" s="43" t="s">
        <v>836</v>
      </c>
      <c r="G283" s="55" t="s">
        <v>2314</v>
      </c>
      <c r="H283" s="55" t="s">
        <v>2315</v>
      </c>
      <c r="I283" s="55" t="s">
        <v>2316</v>
      </c>
      <c r="J283" s="46"/>
    </row>
    <row r="284" spans="2:10">
      <c r="B284" s="41" t="s">
        <v>2317</v>
      </c>
      <c r="C284" s="42" t="s">
        <v>1098</v>
      </c>
      <c r="D284" s="43" t="s">
        <v>2318</v>
      </c>
      <c r="E284" s="43" t="s">
        <v>2319</v>
      </c>
      <c r="F284" s="43" t="s">
        <v>836</v>
      </c>
      <c r="G284" s="43" t="s">
        <v>2320</v>
      </c>
      <c r="H284" s="43" t="s">
        <v>2321</v>
      </c>
      <c r="I284" s="43" t="s">
        <v>2322</v>
      </c>
      <c r="J284" s="46"/>
    </row>
    <row r="285" spans="2:10">
      <c r="B285" s="41" t="s">
        <v>2323</v>
      </c>
      <c r="C285" s="42" t="s">
        <v>1098</v>
      </c>
      <c r="D285" s="43" t="s">
        <v>2324</v>
      </c>
      <c r="E285" s="43" t="s">
        <v>2325</v>
      </c>
      <c r="F285" s="43" t="s">
        <v>836</v>
      </c>
      <c r="G285" s="43" t="s">
        <v>2326</v>
      </c>
      <c r="H285" s="43" t="s">
        <v>2327</v>
      </c>
      <c r="I285" s="43" t="s">
        <v>2328</v>
      </c>
      <c r="J285" s="46"/>
    </row>
    <row r="286" spans="2:10">
      <c r="B286" s="41" t="s">
        <v>2329</v>
      </c>
      <c r="C286" s="42" t="s">
        <v>1098</v>
      </c>
      <c r="D286" s="43" t="s">
        <v>2330</v>
      </c>
      <c r="E286" s="43" t="s">
        <v>2331</v>
      </c>
      <c r="F286" s="43" t="s">
        <v>836</v>
      </c>
      <c r="G286" s="43" t="s">
        <v>2332</v>
      </c>
      <c r="H286" s="43" t="s">
        <v>2333</v>
      </c>
      <c r="I286" s="43" t="s">
        <v>2334</v>
      </c>
      <c r="J286" s="46"/>
    </row>
    <row r="287" spans="2:10">
      <c r="B287" s="41" t="s">
        <v>2335</v>
      </c>
      <c r="C287" s="42" t="s">
        <v>1098</v>
      </c>
      <c r="D287" s="43" t="s">
        <v>2336</v>
      </c>
      <c r="E287" s="43" t="s">
        <v>2337</v>
      </c>
      <c r="F287" s="43" t="s">
        <v>836</v>
      </c>
      <c r="G287" s="43" t="s">
        <v>2338</v>
      </c>
      <c r="H287" s="43" t="s">
        <v>2339</v>
      </c>
      <c r="I287" s="43" t="s">
        <v>2340</v>
      </c>
      <c r="J287" s="46"/>
    </row>
    <row r="288" spans="2:10">
      <c r="B288" s="41" t="s">
        <v>2341</v>
      </c>
      <c r="C288" s="42" t="s">
        <v>1098</v>
      </c>
      <c r="D288" s="43" t="s">
        <v>2342</v>
      </c>
      <c r="E288" s="43" t="s">
        <v>2343</v>
      </c>
      <c r="F288" s="43" t="s">
        <v>836</v>
      </c>
      <c r="G288" s="43" t="s">
        <v>2344</v>
      </c>
      <c r="H288" s="43"/>
      <c r="I288" s="43" t="s">
        <v>2345</v>
      </c>
      <c r="J288" s="46"/>
    </row>
    <row r="289" spans="2:10">
      <c r="B289" s="41" t="s">
        <v>2346</v>
      </c>
      <c r="C289" s="42" t="s">
        <v>1098</v>
      </c>
      <c r="D289" s="43" t="s">
        <v>2347</v>
      </c>
      <c r="E289" s="43" t="s">
        <v>2348</v>
      </c>
      <c r="F289" s="43" t="s">
        <v>836</v>
      </c>
      <c r="G289" s="43" t="s">
        <v>2349</v>
      </c>
      <c r="H289" s="43"/>
      <c r="I289" s="43" t="s">
        <v>2350</v>
      </c>
      <c r="J289" s="46"/>
    </row>
    <row r="290" spans="2:10">
      <c r="B290" s="41" t="s">
        <v>2351</v>
      </c>
      <c r="C290" s="42" t="s">
        <v>1098</v>
      </c>
      <c r="D290" s="43" t="s">
        <v>2352</v>
      </c>
      <c r="E290" s="43" t="s">
        <v>2353</v>
      </c>
      <c r="F290" s="43" t="s">
        <v>836</v>
      </c>
      <c r="G290" s="43" t="s">
        <v>2354</v>
      </c>
      <c r="H290" s="43" t="s">
        <v>2355</v>
      </c>
      <c r="I290" s="43" t="s">
        <v>2356</v>
      </c>
      <c r="J290" s="46"/>
    </row>
    <row r="291" spans="2:10">
      <c r="B291" s="41" t="s">
        <v>2357</v>
      </c>
      <c r="C291" s="42" t="s">
        <v>1098</v>
      </c>
      <c r="D291" s="43" t="s">
        <v>2358</v>
      </c>
      <c r="E291" s="43" t="s">
        <v>2359</v>
      </c>
      <c r="F291" s="43" t="s">
        <v>836</v>
      </c>
      <c r="G291" s="43" t="s">
        <v>2360</v>
      </c>
      <c r="H291" s="43"/>
      <c r="I291" s="43" t="s">
        <v>2361</v>
      </c>
      <c r="J291" s="46"/>
    </row>
    <row r="292" spans="2:10">
      <c r="B292" s="41" t="s">
        <v>2362</v>
      </c>
      <c r="C292" s="42" t="s">
        <v>1098</v>
      </c>
      <c r="D292" s="43" t="s">
        <v>2363</v>
      </c>
      <c r="E292" s="43" t="s">
        <v>2364</v>
      </c>
      <c r="F292" s="43" t="s">
        <v>836</v>
      </c>
      <c r="G292" s="43" t="s">
        <v>2365</v>
      </c>
      <c r="H292" s="43"/>
      <c r="I292" s="43" t="s">
        <v>2366</v>
      </c>
      <c r="J292" s="46"/>
    </row>
    <row r="293" spans="2:10">
      <c r="B293" s="41" t="s">
        <v>2367</v>
      </c>
      <c r="C293" s="42" t="s">
        <v>1098</v>
      </c>
      <c r="D293" s="43" t="s">
        <v>2368</v>
      </c>
      <c r="E293" s="43" t="s">
        <v>2369</v>
      </c>
      <c r="F293" s="43" t="s">
        <v>836</v>
      </c>
      <c r="G293" s="43" t="s">
        <v>2370</v>
      </c>
      <c r="H293" s="43"/>
      <c r="I293" s="43" t="s">
        <v>2371</v>
      </c>
      <c r="J293" s="46"/>
    </row>
    <row r="294" spans="2:10">
      <c r="B294" s="41" t="s">
        <v>2372</v>
      </c>
      <c r="C294" s="42" t="s">
        <v>1098</v>
      </c>
      <c r="D294" s="43" t="s">
        <v>2373</v>
      </c>
      <c r="E294" s="43" t="s">
        <v>2374</v>
      </c>
      <c r="F294" s="43" t="s">
        <v>836</v>
      </c>
      <c r="G294" s="43" t="s">
        <v>2375</v>
      </c>
      <c r="H294" s="43" t="s">
        <v>2376</v>
      </c>
      <c r="I294" s="43" t="s">
        <v>2377</v>
      </c>
      <c r="J294" s="46"/>
    </row>
    <row r="295" spans="2:10">
      <c r="B295" s="41" t="s">
        <v>2378</v>
      </c>
      <c r="C295" s="42" t="s">
        <v>1098</v>
      </c>
      <c r="D295" s="43" t="s">
        <v>2379</v>
      </c>
      <c r="E295" s="43" t="s">
        <v>2380</v>
      </c>
      <c r="F295" s="43" t="s">
        <v>836</v>
      </c>
      <c r="G295" s="43" t="s">
        <v>2381</v>
      </c>
      <c r="H295" s="43"/>
      <c r="I295" s="43" t="s">
        <v>2382</v>
      </c>
      <c r="J295" s="46"/>
    </row>
    <row r="296" spans="2:10">
      <c r="B296" s="41" t="s">
        <v>2383</v>
      </c>
      <c r="C296" s="42" t="s">
        <v>1098</v>
      </c>
      <c r="D296" s="43" t="s">
        <v>2384</v>
      </c>
      <c r="E296" s="43" t="s">
        <v>2385</v>
      </c>
      <c r="F296" s="43" t="s">
        <v>836</v>
      </c>
      <c r="G296" s="43" t="s">
        <v>2386</v>
      </c>
      <c r="H296" s="43" t="s">
        <v>2387</v>
      </c>
      <c r="I296" s="43" t="s">
        <v>2388</v>
      </c>
      <c r="J296" s="46"/>
    </row>
    <row r="297" spans="2:10">
      <c r="B297" s="41" t="s">
        <v>2389</v>
      </c>
      <c r="C297" s="42" t="s">
        <v>1098</v>
      </c>
      <c r="D297" s="43" t="s">
        <v>2390</v>
      </c>
      <c r="E297" s="43" t="s">
        <v>2391</v>
      </c>
      <c r="F297" s="43" t="s">
        <v>836</v>
      </c>
      <c r="G297" s="43" t="s">
        <v>2392</v>
      </c>
      <c r="H297" s="43"/>
      <c r="I297" s="43" t="s">
        <v>2393</v>
      </c>
      <c r="J297" s="46"/>
    </row>
    <row r="298" spans="2:10">
      <c r="B298" s="41" t="s">
        <v>2394</v>
      </c>
      <c r="C298" s="42" t="s">
        <v>1098</v>
      </c>
      <c r="D298" s="43" t="s">
        <v>2395</v>
      </c>
      <c r="E298" s="43" t="s">
        <v>2396</v>
      </c>
      <c r="F298" s="43" t="s">
        <v>836</v>
      </c>
      <c r="G298" s="43" t="s">
        <v>2397</v>
      </c>
      <c r="H298" s="43" t="s">
        <v>2398</v>
      </c>
      <c r="I298" s="43" t="s">
        <v>2399</v>
      </c>
      <c r="J298" s="46"/>
    </row>
    <row r="299" spans="2:10">
      <c r="B299" s="41" t="s">
        <v>2400</v>
      </c>
      <c r="C299" s="42" t="s">
        <v>1098</v>
      </c>
      <c r="D299" s="43" t="s">
        <v>2401</v>
      </c>
      <c r="E299" s="43" t="s">
        <v>2402</v>
      </c>
      <c r="F299" s="43" t="s">
        <v>836</v>
      </c>
      <c r="G299" s="43" t="s">
        <v>2403</v>
      </c>
      <c r="H299" s="43" t="s">
        <v>2404</v>
      </c>
      <c r="I299" s="43" t="s">
        <v>2405</v>
      </c>
      <c r="J299" s="46"/>
    </row>
    <row r="300" spans="2:10">
      <c r="B300" s="41" t="s">
        <v>2406</v>
      </c>
      <c r="C300" s="42" t="s">
        <v>1098</v>
      </c>
      <c r="D300" s="43" t="s">
        <v>2407</v>
      </c>
      <c r="E300" s="43" t="s">
        <v>2408</v>
      </c>
      <c r="F300" s="43" t="s">
        <v>836</v>
      </c>
      <c r="G300" s="43" t="s">
        <v>2409</v>
      </c>
      <c r="H300" s="43"/>
      <c r="I300" s="43" t="s">
        <v>2410</v>
      </c>
      <c r="J300" s="46"/>
    </row>
    <row r="301" spans="2:10">
      <c r="B301" s="41" t="s">
        <v>2411</v>
      </c>
      <c r="C301" s="42" t="s">
        <v>1098</v>
      </c>
      <c r="D301" s="43" t="s">
        <v>2412</v>
      </c>
      <c r="E301" s="65" t="s">
        <v>2413</v>
      </c>
      <c r="F301" s="43" t="s">
        <v>836</v>
      </c>
      <c r="G301" s="43" t="s">
        <v>2414</v>
      </c>
      <c r="H301" s="43" t="s">
        <v>2415</v>
      </c>
      <c r="I301" s="43" t="s">
        <v>2416</v>
      </c>
      <c r="J301" s="46"/>
    </row>
    <row r="302" spans="2:10">
      <c r="B302" s="41" t="s">
        <v>2417</v>
      </c>
      <c r="C302" s="42" t="s">
        <v>1098</v>
      </c>
      <c r="D302" s="43" t="s">
        <v>2418</v>
      </c>
      <c r="E302" s="43" t="s">
        <v>2419</v>
      </c>
      <c r="F302" s="43" t="s">
        <v>836</v>
      </c>
      <c r="G302" s="43" t="s">
        <v>2420</v>
      </c>
      <c r="H302" s="43" t="s">
        <v>2421</v>
      </c>
      <c r="I302" s="43" t="s">
        <v>2422</v>
      </c>
      <c r="J302" s="46" t="s">
        <v>1234</v>
      </c>
    </row>
    <row r="303" spans="2:10">
      <c r="B303" s="41" t="s">
        <v>2423</v>
      </c>
      <c r="C303" s="42" t="s">
        <v>1098</v>
      </c>
      <c r="D303" s="43" t="s">
        <v>2424</v>
      </c>
      <c r="E303" s="43" t="s">
        <v>2425</v>
      </c>
      <c r="F303" s="43" t="s">
        <v>836</v>
      </c>
      <c r="G303" s="43" t="s">
        <v>2426</v>
      </c>
      <c r="H303" s="43" t="s">
        <v>2427</v>
      </c>
      <c r="I303" s="43" t="s">
        <v>2428</v>
      </c>
      <c r="J303" s="46"/>
    </row>
    <row r="304" spans="2:10">
      <c r="B304" s="41" t="s">
        <v>2429</v>
      </c>
      <c r="C304" s="42" t="s">
        <v>1098</v>
      </c>
      <c r="D304" s="43" t="s">
        <v>2430</v>
      </c>
      <c r="E304" s="43" t="s">
        <v>2431</v>
      </c>
      <c r="F304" s="43" t="s">
        <v>849</v>
      </c>
      <c r="G304" s="43" t="s">
        <v>2432</v>
      </c>
      <c r="H304" s="43"/>
      <c r="I304" s="43" t="s">
        <v>2433</v>
      </c>
      <c r="J304" s="51"/>
    </row>
    <row r="305" spans="2:10">
      <c r="B305" s="41" t="s">
        <v>2434</v>
      </c>
      <c r="C305" s="42" t="s">
        <v>1098</v>
      </c>
      <c r="D305" s="42" t="s">
        <v>2435</v>
      </c>
      <c r="E305" s="42" t="s">
        <v>2436</v>
      </c>
      <c r="F305" s="43" t="s">
        <v>836</v>
      </c>
      <c r="G305" s="43" t="s">
        <v>2437</v>
      </c>
      <c r="H305" s="43" t="s">
        <v>2437</v>
      </c>
      <c r="I305" s="43" t="s">
        <v>2438</v>
      </c>
      <c r="J305" s="46"/>
    </row>
    <row r="306" spans="2:10">
      <c r="B306" s="41" t="s">
        <v>2439</v>
      </c>
      <c r="C306" s="42" t="s">
        <v>2440</v>
      </c>
      <c r="D306" s="42" t="s">
        <v>2441</v>
      </c>
      <c r="E306" s="42" t="s">
        <v>2442</v>
      </c>
      <c r="F306" s="42" t="s">
        <v>836</v>
      </c>
      <c r="G306" s="42" t="s">
        <v>2443</v>
      </c>
      <c r="H306" s="43"/>
      <c r="I306" s="43" t="s">
        <v>2444</v>
      </c>
      <c r="J306" s="46"/>
    </row>
    <row r="307" spans="2:10">
      <c r="B307" s="41" t="s">
        <v>2445</v>
      </c>
      <c r="C307" s="42" t="s">
        <v>2440</v>
      </c>
      <c r="D307" s="42" t="s">
        <v>2446</v>
      </c>
      <c r="E307" s="42" t="s">
        <v>2447</v>
      </c>
      <c r="F307" s="42" t="s">
        <v>836</v>
      </c>
      <c r="G307" s="42" t="s">
        <v>2448</v>
      </c>
      <c r="H307" s="43"/>
      <c r="I307" s="43" t="s">
        <v>2449</v>
      </c>
      <c r="J307" s="46"/>
    </row>
    <row r="308" spans="2:10">
      <c r="B308" s="41" t="s">
        <v>2450</v>
      </c>
      <c r="C308" s="42" t="s">
        <v>2440</v>
      </c>
      <c r="D308" s="42" t="s">
        <v>2451</v>
      </c>
      <c r="E308" s="42" t="s">
        <v>2452</v>
      </c>
      <c r="F308" s="42" t="s">
        <v>836</v>
      </c>
      <c r="G308" s="42" t="s">
        <v>2453</v>
      </c>
      <c r="H308" s="43"/>
      <c r="I308" s="43" t="s">
        <v>2454</v>
      </c>
      <c r="J308" s="46"/>
    </row>
    <row r="309" spans="2:10">
      <c r="B309" s="41" t="s">
        <v>2455</v>
      </c>
      <c r="C309" s="42" t="s">
        <v>2440</v>
      </c>
      <c r="D309" s="42" t="s">
        <v>2456</v>
      </c>
      <c r="E309" s="42" t="s">
        <v>724</v>
      </c>
      <c r="F309" s="42" t="s">
        <v>836</v>
      </c>
      <c r="G309" s="42" t="s">
        <v>2457</v>
      </c>
      <c r="H309" s="43" t="s">
        <v>2458</v>
      </c>
      <c r="I309" s="43" t="s">
        <v>2459</v>
      </c>
      <c r="J309" s="46"/>
    </row>
    <row r="310" spans="2:10">
      <c r="B310" s="41" t="s">
        <v>2460</v>
      </c>
      <c r="C310" s="42" t="s">
        <v>2440</v>
      </c>
      <c r="D310" s="42" t="s">
        <v>2461</v>
      </c>
      <c r="E310" s="42" t="s">
        <v>2462</v>
      </c>
      <c r="F310" s="42" t="s">
        <v>836</v>
      </c>
      <c r="G310" s="42" t="s">
        <v>2463</v>
      </c>
      <c r="H310" s="43" t="s">
        <v>2464</v>
      </c>
      <c r="I310" s="43" t="s">
        <v>2465</v>
      </c>
      <c r="J310" s="46"/>
    </row>
    <row r="311" spans="2:10">
      <c r="B311" s="41" t="s">
        <v>2466</v>
      </c>
      <c r="C311" s="42" t="s">
        <v>2440</v>
      </c>
      <c r="D311" s="42" t="s">
        <v>2467</v>
      </c>
      <c r="E311" s="42" t="s">
        <v>2468</v>
      </c>
      <c r="F311" s="42" t="s">
        <v>836</v>
      </c>
      <c r="G311" s="42" t="s">
        <v>2469</v>
      </c>
      <c r="H311" s="43" t="s">
        <v>2469</v>
      </c>
      <c r="I311" s="43" t="s">
        <v>2470</v>
      </c>
      <c r="J311" s="46"/>
    </row>
    <row r="312" spans="2:10">
      <c r="B312" s="41" t="s">
        <v>2471</v>
      </c>
      <c r="C312" s="42" t="s">
        <v>2440</v>
      </c>
      <c r="D312" s="42" t="s">
        <v>2472</v>
      </c>
      <c r="E312" s="42" t="s">
        <v>2473</v>
      </c>
      <c r="F312" s="42" t="s">
        <v>836</v>
      </c>
      <c r="G312" s="42" t="s">
        <v>2474</v>
      </c>
      <c r="H312" s="43" t="s">
        <v>2475</v>
      </c>
      <c r="I312" s="43" t="s">
        <v>2476</v>
      </c>
      <c r="J312" s="46"/>
    </row>
    <row r="313" spans="2:10">
      <c r="B313" s="41" t="s">
        <v>2477</v>
      </c>
      <c r="C313" s="42" t="s">
        <v>2440</v>
      </c>
      <c r="D313" s="42" t="s">
        <v>2478</v>
      </c>
      <c r="E313" s="42" t="s">
        <v>2479</v>
      </c>
      <c r="F313" s="42" t="s">
        <v>836</v>
      </c>
      <c r="G313" s="42" t="s">
        <v>2480</v>
      </c>
      <c r="H313" s="43"/>
      <c r="I313" s="43" t="s">
        <v>2481</v>
      </c>
      <c r="J313" s="46"/>
    </row>
    <row r="314" spans="2:10">
      <c r="B314" s="41" t="s">
        <v>2482</v>
      </c>
      <c r="C314" s="42" t="s">
        <v>2440</v>
      </c>
      <c r="D314" s="42" t="s">
        <v>2483</v>
      </c>
      <c r="E314" s="42" t="s">
        <v>2484</v>
      </c>
      <c r="F314" s="42" t="s">
        <v>836</v>
      </c>
      <c r="G314" s="42" t="s">
        <v>2485</v>
      </c>
      <c r="H314" s="43"/>
      <c r="I314" s="43" t="s">
        <v>2486</v>
      </c>
      <c r="J314" s="46"/>
    </row>
    <row r="315" spans="2:10">
      <c r="B315" s="41" t="s">
        <v>2487</v>
      </c>
      <c r="C315" s="42" t="s">
        <v>2440</v>
      </c>
      <c r="D315" s="42" t="s">
        <v>2488</v>
      </c>
      <c r="E315" s="42" t="s">
        <v>2489</v>
      </c>
      <c r="F315" s="42" t="s">
        <v>836</v>
      </c>
      <c r="G315" s="42" t="s">
        <v>2490</v>
      </c>
      <c r="H315" s="43"/>
      <c r="I315" s="43" t="s">
        <v>2491</v>
      </c>
      <c r="J315" s="46"/>
    </row>
    <row r="316" spans="2:10">
      <c r="B316" s="41" t="s">
        <v>2492</v>
      </c>
      <c r="C316" s="42" t="s">
        <v>2440</v>
      </c>
      <c r="D316" s="42" t="s">
        <v>2493</v>
      </c>
      <c r="E316" s="42" t="s">
        <v>2494</v>
      </c>
      <c r="F316" s="42" t="s">
        <v>836</v>
      </c>
      <c r="G316" s="42" t="s">
        <v>2495</v>
      </c>
      <c r="H316" s="43"/>
      <c r="I316" s="43" t="s">
        <v>2496</v>
      </c>
      <c r="J316" s="46"/>
    </row>
    <row r="317" spans="2:10">
      <c r="B317" s="41" t="s">
        <v>2497</v>
      </c>
      <c r="C317" s="42" t="s">
        <v>2440</v>
      </c>
      <c r="D317" s="42" t="s">
        <v>2498</v>
      </c>
      <c r="E317" s="42" t="s">
        <v>2499</v>
      </c>
      <c r="F317" s="42" t="s">
        <v>836</v>
      </c>
      <c r="G317" s="42" t="s">
        <v>2500</v>
      </c>
      <c r="H317" s="43" t="s">
        <v>2501</v>
      </c>
      <c r="I317" s="43" t="s">
        <v>2502</v>
      </c>
      <c r="J317" s="46"/>
    </row>
    <row r="318" spans="2:10">
      <c r="B318" s="41" t="s">
        <v>2503</v>
      </c>
      <c r="C318" s="42" t="s">
        <v>2440</v>
      </c>
      <c r="D318" s="42" t="s">
        <v>2504</v>
      </c>
      <c r="E318" s="42" t="s">
        <v>2505</v>
      </c>
      <c r="F318" s="42" t="s">
        <v>836</v>
      </c>
      <c r="G318" s="42" t="s">
        <v>2506</v>
      </c>
      <c r="H318" s="43"/>
      <c r="I318" s="43" t="s">
        <v>2507</v>
      </c>
      <c r="J318" s="46"/>
    </row>
    <row r="319" spans="2:10">
      <c r="B319" s="41" t="s">
        <v>2508</v>
      </c>
      <c r="C319" s="42" t="s">
        <v>2440</v>
      </c>
      <c r="D319" s="42" t="s">
        <v>2509</v>
      </c>
      <c r="E319" s="42" t="s">
        <v>2510</v>
      </c>
      <c r="F319" s="42" t="s">
        <v>836</v>
      </c>
      <c r="G319" s="42" t="s">
        <v>2511</v>
      </c>
      <c r="H319" s="43" t="s">
        <v>2512</v>
      </c>
      <c r="I319" s="43" t="s">
        <v>2513</v>
      </c>
      <c r="J319" s="46"/>
    </row>
    <row r="320" spans="2:10">
      <c r="B320" s="41" t="s">
        <v>2514</v>
      </c>
      <c r="C320" s="42" t="s">
        <v>2440</v>
      </c>
      <c r="D320" s="42" t="s">
        <v>2515</v>
      </c>
      <c r="E320" s="42" t="s">
        <v>2516</v>
      </c>
      <c r="F320" s="42" t="s">
        <v>836</v>
      </c>
      <c r="G320" s="42" t="s">
        <v>2517</v>
      </c>
      <c r="H320" s="43"/>
      <c r="I320" s="43" t="s">
        <v>2518</v>
      </c>
      <c r="J320" s="46"/>
    </row>
    <row r="321" spans="2:10">
      <c r="B321" s="41" t="s">
        <v>2519</v>
      </c>
      <c r="C321" s="42" t="s">
        <v>2440</v>
      </c>
      <c r="D321" s="42" t="s">
        <v>2520</v>
      </c>
      <c r="E321" s="42" t="s">
        <v>731</v>
      </c>
      <c r="F321" s="42" t="s">
        <v>836</v>
      </c>
      <c r="G321" s="42" t="s">
        <v>2521</v>
      </c>
      <c r="H321" s="43"/>
      <c r="I321" s="43" t="s">
        <v>2522</v>
      </c>
      <c r="J321" s="46"/>
    </row>
    <row r="322" spans="2:10">
      <c r="B322" s="41" t="s">
        <v>2523</v>
      </c>
      <c r="C322" s="42" t="s">
        <v>2440</v>
      </c>
      <c r="D322" s="42" t="s">
        <v>2524</v>
      </c>
      <c r="E322" s="42" t="s">
        <v>2525</v>
      </c>
      <c r="F322" s="42" t="s">
        <v>836</v>
      </c>
      <c r="G322" s="42" t="s">
        <v>2526</v>
      </c>
      <c r="H322" s="43"/>
      <c r="I322" s="43" t="s">
        <v>2527</v>
      </c>
      <c r="J322" s="46"/>
    </row>
    <row r="323" spans="2:10">
      <c r="B323" s="41" t="s">
        <v>2528</v>
      </c>
      <c r="C323" s="42" t="s">
        <v>2440</v>
      </c>
      <c r="D323" s="42" t="s">
        <v>2529</v>
      </c>
      <c r="E323" s="42" t="s">
        <v>762</v>
      </c>
      <c r="F323" s="42" t="s">
        <v>836</v>
      </c>
      <c r="G323" s="42" t="s">
        <v>2530</v>
      </c>
      <c r="H323" s="43"/>
      <c r="I323" s="43" t="s">
        <v>2531</v>
      </c>
      <c r="J323" s="46"/>
    </row>
    <row r="324" spans="2:10">
      <c r="B324" s="41" t="s">
        <v>2532</v>
      </c>
      <c r="C324" s="42" t="s">
        <v>2440</v>
      </c>
      <c r="D324" s="42" t="s">
        <v>2533</v>
      </c>
      <c r="E324" s="42" t="s">
        <v>753</v>
      </c>
      <c r="F324" s="42" t="s">
        <v>836</v>
      </c>
      <c r="G324" s="42" t="s">
        <v>2534</v>
      </c>
      <c r="H324" s="43"/>
      <c r="I324" s="45" t="s">
        <v>2535</v>
      </c>
      <c r="J324" s="46"/>
    </row>
  </sheetData>
  <autoFilter ref="B3:I324" xr:uid="{7144CD1C-23BE-4FDE-B392-5F30AA0DEBDA}"/>
  <conditionalFormatting sqref="D66:D70 D64 D56:D61 D4:D28 D129:D133 D89:D90 D92:D115 D32:D38 D146:D195 D45:D54 D39:E44">
    <cfRule type="duplicateValues" dxfId="9" priority="6"/>
    <cfRule type="duplicateValues" dxfId="8" priority="7"/>
    <cfRule type="colorScale" priority="8">
      <colorScale>
        <cfvo type="min"/>
        <cfvo type="max"/>
        <color rgb="FFFF7128"/>
        <color rgb="FFFFEF9C"/>
      </colorScale>
    </cfRule>
  </conditionalFormatting>
  <conditionalFormatting sqref="D196:D206">
    <cfRule type="duplicateValues" dxfId="7" priority="2"/>
    <cfRule type="duplicateValues" dxfId="6" priority="3"/>
    <cfRule type="colorScale" priority="4">
      <colorScale>
        <cfvo type="min"/>
        <cfvo type="max"/>
        <color rgb="FFFF7128"/>
        <color rgb="FFFFEF9C"/>
      </colorScale>
    </cfRule>
  </conditionalFormatting>
  <conditionalFormatting sqref="G207:I296 G55:I55 G63:I63 J213">
    <cfRule type="duplicateValues" dxfId="5" priority="1"/>
  </conditionalFormatting>
  <conditionalFormatting sqref="I297:I324 I71 I3 K3">
    <cfRule type="duplicateValues" dxfId="4" priority="5"/>
  </conditionalFormatting>
  <dataValidations count="1">
    <dataValidation type="list" allowBlank="1" showInputMessage="1" showErrorMessage="1" sqref="F4:F324" xr:uid="{8B5A8A0F-6C48-4D2A-BCFC-D4EE31B3D81A}">
      <formula1>"To be invited, Not invited, Invitation sent, Confirmed, Declined"</formula1>
    </dataValidation>
  </dataValidations>
  <hyperlinks>
    <hyperlink ref="I4" r:id="rId1" xr:uid="{AFA74F65-7EC0-47E8-A34F-FF09D74E92F6}"/>
    <hyperlink ref="I5" r:id="rId2" xr:uid="{DF280C54-9D25-450D-9F1F-4B8C69CAA71B}"/>
    <hyperlink ref="I6" r:id="rId3" xr:uid="{98CE8103-B1EA-4A8D-849E-51A50BE8B482}"/>
    <hyperlink ref="I7" r:id="rId4" xr:uid="{84060FF4-1FF4-490B-BDC0-7A745BD9DF19}"/>
    <hyperlink ref="I106" r:id="rId5" xr:uid="{86B275EA-D43B-4CE1-9D86-30E6B56D5C06}"/>
    <hyperlink ref="I39" r:id="rId6" xr:uid="{15E4451D-316B-4A2F-AC75-32B48269A61F}"/>
    <hyperlink ref="I41" r:id="rId7" xr:uid="{7B80F30A-963F-4779-85F1-0768EEBDB8FE}"/>
    <hyperlink ref="I42" r:id="rId8" xr:uid="{B4F4CFC4-F966-4461-B8A8-70D8E48E340A}"/>
    <hyperlink ref="I45" r:id="rId9" xr:uid="{62B5B4DC-7667-4014-AECF-3FB43520D2F0}"/>
    <hyperlink ref="I40" r:id="rId10" xr:uid="{42BC7066-7BA0-4F20-BC10-F83EBDEADC7B}"/>
    <hyperlink ref="I324" r:id="rId11" xr:uid="{AFFA6A60-02A8-4F34-BEC1-33E059320988}"/>
    <hyperlink ref="K117" r:id="rId12" xr:uid="{A52FD836-8188-432D-A4B8-17768CC5B9B2}"/>
  </hyperlinks>
  <pageMargins left="0.7" right="0.7" top="0.78740157499999996" bottom="0.78740157499999996" header="0.3" footer="0.3"/>
  <legacyDrawing r:id="rId1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BB32-D042-4E5C-B092-D2F3895A2838}">
  <dimension ref="A1:I256"/>
  <sheetViews>
    <sheetView showOutlineSymbols="0" showWhiteSpace="0" topLeftCell="B1" zoomScale="40" zoomScaleNormal="40" workbookViewId="0">
      <pane ySplit="1" topLeftCell="A2" activePane="bottomLeft" state="frozen"/>
      <selection pane="bottomLeft" activeCell="A24" sqref="A24"/>
    </sheetView>
  </sheetViews>
  <sheetFormatPr baseColWidth="10" defaultColWidth="8.83203125" defaultRowHeight="14"/>
  <cols>
    <col min="1" max="1" width="8.83203125" bestFit="1" customWidth="1"/>
    <col min="2" max="2" width="33.6640625" bestFit="1" customWidth="1"/>
    <col min="3" max="3" width="12" bestFit="1" customWidth="1"/>
    <col min="4" max="4" width="18.1640625" bestFit="1" customWidth="1"/>
    <col min="5" max="5" width="34.6640625" customWidth="1"/>
    <col min="6" max="6" width="17.6640625" bestFit="1" customWidth="1"/>
    <col min="7" max="7" width="7.33203125" bestFit="1" customWidth="1"/>
    <col min="8" max="8" width="10.5" bestFit="1" customWidth="1"/>
    <col min="9" max="9" width="8.83203125" bestFit="1" customWidth="1"/>
  </cols>
  <sheetData>
    <row r="1" spans="1:9" ht="33.5" customHeight="1">
      <c r="A1" s="1" t="s">
        <v>826</v>
      </c>
      <c r="B1" s="1" t="s">
        <v>2536</v>
      </c>
      <c r="C1" s="1" t="s">
        <v>2537</v>
      </c>
      <c r="D1" s="1" t="s">
        <v>2538</v>
      </c>
      <c r="E1" s="1" t="s">
        <v>2539</v>
      </c>
      <c r="F1" s="1" t="s">
        <v>2540</v>
      </c>
      <c r="G1" s="1" t="s">
        <v>2541</v>
      </c>
      <c r="H1" s="1" t="s">
        <v>2542</v>
      </c>
      <c r="I1" s="1" t="s">
        <v>2543</v>
      </c>
    </row>
    <row r="2" spans="1:9">
      <c r="A2" s="2" t="s">
        <v>535</v>
      </c>
      <c r="B2" s="2" t="s">
        <v>2544</v>
      </c>
      <c r="C2" s="2" t="s">
        <v>2545</v>
      </c>
      <c r="D2" s="2" t="s">
        <v>2546</v>
      </c>
      <c r="E2" s="2" t="s">
        <v>808</v>
      </c>
      <c r="F2" s="2" t="s">
        <v>2547</v>
      </c>
      <c r="G2" s="2" t="s">
        <v>7</v>
      </c>
      <c r="H2" s="2" t="s">
        <v>695</v>
      </c>
      <c r="I2" s="2" t="s">
        <v>15</v>
      </c>
    </row>
    <row r="3" spans="1:9">
      <c r="A3" s="2" t="s">
        <v>535</v>
      </c>
      <c r="B3" s="2" t="s">
        <v>2548</v>
      </c>
      <c r="C3" s="2" t="s">
        <v>2549</v>
      </c>
      <c r="D3" s="2" t="s">
        <v>2550</v>
      </c>
      <c r="E3" s="2" t="s">
        <v>808</v>
      </c>
      <c r="F3" s="2" t="s">
        <v>2551</v>
      </c>
      <c r="G3" s="2" t="s">
        <v>8</v>
      </c>
      <c r="H3" s="2" t="s">
        <v>695</v>
      </c>
      <c r="I3" s="2" t="s">
        <v>15</v>
      </c>
    </row>
    <row r="4" spans="1:9">
      <c r="A4" s="2" t="s">
        <v>535</v>
      </c>
      <c r="B4" s="2" t="s">
        <v>2552</v>
      </c>
      <c r="C4" s="2" t="s">
        <v>2553</v>
      </c>
      <c r="D4" s="2" t="s">
        <v>2554</v>
      </c>
      <c r="E4" s="2" t="s">
        <v>808</v>
      </c>
      <c r="F4" s="2" t="s">
        <v>2555</v>
      </c>
      <c r="G4" s="2" t="s">
        <v>8</v>
      </c>
      <c r="H4" s="2" t="s">
        <v>691</v>
      </c>
      <c r="I4" s="2" t="s">
        <v>15</v>
      </c>
    </row>
    <row r="5" spans="1:9">
      <c r="A5" s="2" t="s">
        <v>535</v>
      </c>
      <c r="B5" s="2" t="s">
        <v>2556</v>
      </c>
      <c r="C5" s="2" t="s">
        <v>2557</v>
      </c>
      <c r="D5" s="2" t="s">
        <v>2558</v>
      </c>
      <c r="E5" s="2" t="s">
        <v>808</v>
      </c>
      <c r="F5" s="2" t="s">
        <v>2559</v>
      </c>
      <c r="G5" s="2" t="s">
        <v>8</v>
      </c>
      <c r="H5" s="2" t="s">
        <v>695</v>
      </c>
      <c r="I5" s="2" t="s">
        <v>15</v>
      </c>
    </row>
    <row r="6" spans="1:9">
      <c r="A6" s="2" t="s">
        <v>2560</v>
      </c>
      <c r="B6" s="2" t="s">
        <v>2561</v>
      </c>
      <c r="C6" s="2" t="s">
        <v>2562</v>
      </c>
      <c r="D6" s="2" t="s">
        <v>2563</v>
      </c>
      <c r="E6" s="2" t="s">
        <v>808</v>
      </c>
      <c r="F6" s="2" t="s">
        <v>2564</v>
      </c>
      <c r="G6" s="2" t="s">
        <v>7</v>
      </c>
      <c r="H6" s="2" t="s">
        <v>695</v>
      </c>
      <c r="I6" s="2" t="s">
        <v>16</v>
      </c>
    </row>
    <row r="7" spans="1:9">
      <c r="A7" s="2" t="s">
        <v>2560</v>
      </c>
      <c r="B7" s="2" t="s">
        <v>1076</v>
      </c>
      <c r="C7" s="2" t="s">
        <v>2565</v>
      </c>
      <c r="D7" s="2" t="s">
        <v>2566</v>
      </c>
      <c r="E7" s="2" t="s">
        <v>2567</v>
      </c>
      <c r="F7" s="2" t="s">
        <v>2568</v>
      </c>
      <c r="G7" s="2" t="s">
        <v>8</v>
      </c>
      <c r="H7" s="2">
        <v>46</v>
      </c>
      <c r="I7" s="2" t="s">
        <v>729</v>
      </c>
    </row>
    <row r="8" spans="1:9">
      <c r="A8" s="2" t="s">
        <v>2560</v>
      </c>
      <c r="B8" s="2" t="s">
        <v>1329</v>
      </c>
      <c r="C8" s="2" t="s">
        <v>2569</v>
      </c>
      <c r="D8" s="2" t="s">
        <v>2570</v>
      </c>
      <c r="E8" s="2" t="s">
        <v>2571</v>
      </c>
      <c r="F8" s="2" t="s">
        <v>2572</v>
      </c>
      <c r="G8" s="2" t="s">
        <v>8</v>
      </c>
      <c r="H8" s="2" t="s">
        <v>691</v>
      </c>
      <c r="I8" s="2" t="s">
        <v>18</v>
      </c>
    </row>
    <row r="9" spans="1:9">
      <c r="A9" s="2" t="s">
        <v>2560</v>
      </c>
      <c r="B9" s="2" t="s">
        <v>2573</v>
      </c>
      <c r="C9" s="2" t="s">
        <v>2574</v>
      </c>
      <c r="D9" s="2" t="s">
        <v>2575</v>
      </c>
      <c r="E9" s="2" t="s">
        <v>234</v>
      </c>
      <c r="F9" s="2" t="s">
        <v>2576</v>
      </c>
      <c r="G9" s="2" t="s">
        <v>8</v>
      </c>
      <c r="H9" s="2" t="s">
        <v>698</v>
      </c>
      <c r="I9" s="2" t="s">
        <v>15</v>
      </c>
    </row>
    <row r="10" spans="1:9">
      <c r="A10" s="2" t="s">
        <v>2560</v>
      </c>
      <c r="B10" s="2" t="s">
        <v>2577</v>
      </c>
      <c r="C10" s="2" t="s">
        <v>2578</v>
      </c>
      <c r="D10" s="2" t="s">
        <v>2579</v>
      </c>
      <c r="E10" s="2" t="s">
        <v>2580</v>
      </c>
      <c r="F10" s="2" t="s">
        <v>2581</v>
      </c>
      <c r="G10" s="2" t="s">
        <v>7</v>
      </c>
      <c r="H10" s="2" t="s">
        <v>695</v>
      </c>
      <c r="I10" s="2" t="s">
        <v>700</v>
      </c>
    </row>
    <row r="11" spans="1:9">
      <c r="A11" s="2" t="s">
        <v>2560</v>
      </c>
      <c r="B11" s="2" t="s">
        <v>2582</v>
      </c>
      <c r="C11" s="2" t="s">
        <v>2583</v>
      </c>
      <c r="D11" s="2" t="s">
        <v>2584</v>
      </c>
      <c r="E11" s="2" t="s">
        <v>2585</v>
      </c>
      <c r="F11" s="2" t="s">
        <v>2586</v>
      </c>
      <c r="G11" s="2" t="s">
        <v>7</v>
      </c>
      <c r="H11" s="2" t="s">
        <v>179</v>
      </c>
      <c r="I11" s="2" t="s">
        <v>15</v>
      </c>
    </row>
    <row r="12" spans="1:9">
      <c r="A12" s="2" t="s">
        <v>2560</v>
      </c>
      <c r="B12" s="2" t="s">
        <v>1103</v>
      </c>
      <c r="C12" s="2" t="s">
        <v>2587</v>
      </c>
      <c r="D12" s="2" t="s">
        <v>2588</v>
      </c>
      <c r="E12" s="2" t="s">
        <v>2589</v>
      </c>
      <c r="F12" s="2" t="s">
        <v>2590</v>
      </c>
      <c r="G12" s="2" t="s">
        <v>8</v>
      </c>
      <c r="H12" s="2" t="s">
        <v>691</v>
      </c>
      <c r="I12" s="2" t="s">
        <v>23</v>
      </c>
    </row>
    <row r="13" spans="1:9">
      <c r="A13" s="2" t="s">
        <v>2560</v>
      </c>
      <c r="B13" s="2" t="s">
        <v>1033</v>
      </c>
      <c r="C13" s="2" t="s">
        <v>2591</v>
      </c>
      <c r="D13" s="2" t="s">
        <v>2592</v>
      </c>
      <c r="E13" s="2" t="s">
        <v>2593</v>
      </c>
      <c r="F13" s="2" t="s">
        <v>2594</v>
      </c>
      <c r="G13" s="2" t="s">
        <v>7</v>
      </c>
      <c r="H13" s="2" t="s">
        <v>695</v>
      </c>
      <c r="I13" s="2" t="s">
        <v>16</v>
      </c>
    </row>
    <row r="14" spans="1:9">
      <c r="A14" s="2" t="s">
        <v>2560</v>
      </c>
      <c r="B14" s="2" t="s">
        <v>1304</v>
      </c>
      <c r="C14" s="2" t="s">
        <v>2595</v>
      </c>
      <c r="D14" s="2" t="s">
        <v>2596</v>
      </c>
      <c r="E14" s="2" t="s">
        <v>690</v>
      </c>
      <c r="F14" s="2" t="s">
        <v>2597</v>
      </c>
      <c r="G14" s="2" t="s">
        <v>8</v>
      </c>
      <c r="H14" s="2" t="s">
        <v>691</v>
      </c>
      <c r="I14" s="2" t="s">
        <v>23</v>
      </c>
    </row>
    <row r="15" spans="1:9">
      <c r="A15" s="2" t="s">
        <v>2560</v>
      </c>
      <c r="B15" s="2" t="s">
        <v>2598</v>
      </c>
      <c r="C15" s="2" t="s">
        <v>2599</v>
      </c>
      <c r="D15" s="2" t="s">
        <v>2600</v>
      </c>
      <c r="E15" s="2" t="s">
        <v>694</v>
      </c>
      <c r="F15" s="2" t="s">
        <v>2601</v>
      </c>
      <c r="G15" s="2" t="s">
        <v>7</v>
      </c>
      <c r="H15" s="2" t="s">
        <v>695</v>
      </c>
      <c r="I15" s="2" t="s">
        <v>15</v>
      </c>
    </row>
    <row r="16" spans="1:9">
      <c r="A16" s="2" t="s">
        <v>2560</v>
      </c>
      <c r="B16" s="2" t="s">
        <v>2602</v>
      </c>
      <c r="C16" s="2" t="s">
        <v>2603</v>
      </c>
      <c r="D16" s="2" t="s">
        <v>2604</v>
      </c>
      <c r="E16" s="2" t="s">
        <v>696</v>
      </c>
      <c r="F16" s="2" t="s">
        <v>2605</v>
      </c>
      <c r="G16" s="2" t="s">
        <v>8</v>
      </c>
      <c r="H16" s="2" t="s">
        <v>691</v>
      </c>
      <c r="I16" s="2" t="s">
        <v>18</v>
      </c>
    </row>
    <row r="17" spans="1:9">
      <c r="A17" s="2" t="s">
        <v>2560</v>
      </c>
      <c r="B17" s="2" t="s">
        <v>2130</v>
      </c>
      <c r="C17" s="2" t="s">
        <v>2606</v>
      </c>
      <c r="D17" s="2" t="s">
        <v>2607</v>
      </c>
      <c r="E17" s="2" t="s">
        <v>697</v>
      </c>
      <c r="F17" s="2" t="s">
        <v>2608</v>
      </c>
      <c r="G17" s="2" t="s">
        <v>7</v>
      </c>
      <c r="H17" s="2" t="s">
        <v>698</v>
      </c>
      <c r="I17" s="2" t="s">
        <v>18</v>
      </c>
    </row>
    <row r="18" spans="1:9">
      <c r="A18" s="2" t="s">
        <v>2560</v>
      </c>
      <c r="B18" s="2" t="s">
        <v>2609</v>
      </c>
      <c r="C18" s="2" t="s">
        <v>2610</v>
      </c>
      <c r="D18" s="2" t="s">
        <v>2611</v>
      </c>
      <c r="E18" s="2" t="s">
        <v>2612</v>
      </c>
      <c r="F18" s="2" t="s">
        <v>2613</v>
      </c>
      <c r="G18" s="2" t="s">
        <v>8</v>
      </c>
      <c r="H18" s="2" t="s">
        <v>698</v>
      </c>
      <c r="I18" s="2" t="s">
        <v>729</v>
      </c>
    </row>
    <row r="19" spans="1:9">
      <c r="A19" s="2" t="s">
        <v>535</v>
      </c>
      <c r="B19" s="2" t="s">
        <v>2614</v>
      </c>
      <c r="C19" s="2" t="s">
        <v>2615</v>
      </c>
      <c r="D19" s="2" t="s">
        <v>2616</v>
      </c>
      <c r="E19" s="2" t="s">
        <v>2617</v>
      </c>
      <c r="F19" s="2" t="s">
        <v>2618</v>
      </c>
      <c r="G19" s="2" t="s">
        <v>7</v>
      </c>
      <c r="H19" s="2" t="s">
        <v>698</v>
      </c>
      <c r="I19" s="2" t="s">
        <v>15</v>
      </c>
    </row>
    <row r="20" spans="1:9">
      <c r="A20" s="2" t="s">
        <v>2560</v>
      </c>
      <c r="B20" s="2" t="s">
        <v>1925</v>
      </c>
      <c r="C20" s="2" t="s">
        <v>2619</v>
      </c>
      <c r="D20" s="2" t="s">
        <v>2620</v>
      </c>
      <c r="E20" s="2" t="s">
        <v>699</v>
      </c>
      <c r="F20" s="2" t="s">
        <v>2621</v>
      </c>
      <c r="G20" s="2" t="s">
        <v>8</v>
      </c>
      <c r="H20" s="2">
        <v>46</v>
      </c>
      <c r="I20" s="2" t="s">
        <v>700</v>
      </c>
    </row>
    <row r="21" spans="1:9">
      <c r="A21" s="2" t="s">
        <v>2560</v>
      </c>
      <c r="B21" s="2" t="s">
        <v>2334</v>
      </c>
      <c r="C21" s="2" t="s">
        <v>2622</v>
      </c>
      <c r="D21" s="2" t="s">
        <v>2623</v>
      </c>
      <c r="E21" s="2" t="s">
        <v>701</v>
      </c>
      <c r="F21" s="2" t="s">
        <v>2624</v>
      </c>
      <c r="G21" s="2" t="s">
        <v>7</v>
      </c>
      <c r="H21" s="2" t="s">
        <v>691</v>
      </c>
      <c r="I21" s="2" t="s">
        <v>15</v>
      </c>
    </row>
    <row r="22" spans="1:9">
      <c r="A22" s="2" t="s">
        <v>2560</v>
      </c>
      <c r="B22" s="2" t="s">
        <v>2625</v>
      </c>
      <c r="C22" s="2" t="s">
        <v>2626</v>
      </c>
      <c r="D22" s="2" t="s">
        <v>2627</v>
      </c>
      <c r="E22" s="2" t="s">
        <v>702</v>
      </c>
      <c r="F22" s="2" t="s">
        <v>2628</v>
      </c>
      <c r="G22" s="2" t="s">
        <v>7</v>
      </c>
      <c r="H22" s="2" t="s">
        <v>691</v>
      </c>
      <c r="I22" s="2" t="s">
        <v>15</v>
      </c>
    </row>
    <row r="23" spans="1:9">
      <c r="A23" s="2" t="s">
        <v>2560</v>
      </c>
      <c r="B23" s="2" t="s">
        <v>2228</v>
      </c>
      <c r="C23" s="2" t="s">
        <v>2629</v>
      </c>
      <c r="D23" s="2" t="s">
        <v>2630</v>
      </c>
      <c r="E23" s="2" t="s">
        <v>703</v>
      </c>
      <c r="F23" s="2" t="s">
        <v>2631</v>
      </c>
      <c r="G23" s="2" t="s">
        <v>7</v>
      </c>
      <c r="H23" s="2" t="s">
        <v>691</v>
      </c>
      <c r="I23" s="2" t="s">
        <v>15</v>
      </c>
    </row>
    <row r="24" spans="1:9">
      <c r="A24" s="2" t="s">
        <v>2560</v>
      </c>
      <c r="B24" s="2" t="s">
        <v>2416</v>
      </c>
      <c r="C24" s="2" t="s">
        <v>2632</v>
      </c>
      <c r="D24" s="2" t="s">
        <v>2633</v>
      </c>
      <c r="E24" s="2" t="s">
        <v>704</v>
      </c>
      <c r="F24" s="2" t="s">
        <v>2634</v>
      </c>
      <c r="G24" s="2" t="s">
        <v>7</v>
      </c>
      <c r="H24" s="2">
        <v>46</v>
      </c>
      <c r="I24" s="2" t="s">
        <v>16</v>
      </c>
    </row>
    <row r="25" spans="1:9">
      <c r="A25" s="2" t="s">
        <v>2560</v>
      </c>
      <c r="B25" s="2" t="s">
        <v>2266</v>
      </c>
      <c r="C25" s="2" t="s">
        <v>2635</v>
      </c>
      <c r="D25" s="2" t="s">
        <v>2636</v>
      </c>
      <c r="E25" s="2" t="s">
        <v>705</v>
      </c>
      <c r="F25" s="2" t="s">
        <v>2637</v>
      </c>
      <c r="G25" s="2" t="s">
        <v>8</v>
      </c>
      <c r="H25" s="2" t="s">
        <v>691</v>
      </c>
      <c r="I25" s="2" t="s">
        <v>15</v>
      </c>
    </row>
    <row r="26" spans="1:9">
      <c r="A26" s="2" t="s">
        <v>2560</v>
      </c>
      <c r="B26" s="2" t="s">
        <v>2316</v>
      </c>
      <c r="C26" s="2" t="s">
        <v>2638</v>
      </c>
      <c r="D26" s="2" t="s">
        <v>2639</v>
      </c>
      <c r="E26" s="2" t="s">
        <v>706</v>
      </c>
      <c r="F26" s="2" t="s">
        <v>2640</v>
      </c>
      <c r="G26" s="2" t="s">
        <v>8</v>
      </c>
      <c r="H26" s="2" t="s">
        <v>691</v>
      </c>
      <c r="I26" s="2" t="s">
        <v>15</v>
      </c>
    </row>
    <row r="27" spans="1:9">
      <c r="A27" s="2" t="s">
        <v>2560</v>
      </c>
      <c r="B27" s="2" t="s">
        <v>2641</v>
      </c>
      <c r="C27" s="2" t="s">
        <v>2642</v>
      </c>
      <c r="D27" s="2" t="s">
        <v>2643</v>
      </c>
      <c r="E27" s="2" t="s">
        <v>2644</v>
      </c>
      <c r="F27" s="2" t="s">
        <v>2645</v>
      </c>
      <c r="G27" s="2" t="s">
        <v>8</v>
      </c>
      <c r="H27" s="2" t="s">
        <v>691</v>
      </c>
      <c r="I27" s="2" t="s">
        <v>16</v>
      </c>
    </row>
    <row r="28" spans="1:9">
      <c r="A28" s="2" t="s">
        <v>2560</v>
      </c>
      <c r="B28" s="2" t="s">
        <v>2350</v>
      </c>
      <c r="C28" s="2" t="s">
        <v>2646</v>
      </c>
      <c r="D28" s="2" t="s">
        <v>2647</v>
      </c>
      <c r="E28" s="2" t="s">
        <v>707</v>
      </c>
      <c r="F28" s="2" t="s">
        <v>2648</v>
      </c>
      <c r="G28" s="2" t="s">
        <v>7</v>
      </c>
      <c r="H28" s="2" t="s">
        <v>698</v>
      </c>
      <c r="I28" s="2" t="s">
        <v>15</v>
      </c>
    </row>
    <row r="29" spans="1:9">
      <c r="A29" s="2" t="s">
        <v>2560</v>
      </c>
      <c r="B29" s="2" t="s">
        <v>2649</v>
      </c>
      <c r="C29" s="2" t="s">
        <v>2650</v>
      </c>
      <c r="D29" s="2" t="s">
        <v>2651</v>
      </c>
      <c r="E29" s="2" t="s">
        <v>287</v>
      </c>
      <c r="F29" s="2" t="s">
        <v>2652</v>
      </c>
      <c r="G29" s="2" t="s">
        <v>7</v>
      </c>
      <c r="H29" s="2" t="s">
        <v>695</v>
      </c>
      <c r="I29" s="2" t="s">
        <v>700</v>
      </c>
    </row>
    <row r="30" spans="1:9">
      <c r="A30" s="2" t="s">
        <v>2560</v>
      </c>
      <c r="B30" s="2" t="s">
        <v>2653</v>
      </c>
      <c r="C30" s="2" t="s">
        <v>2654</v>
      </c>
      <c r="D30" s="2" t="s">
        <v>2655</v>
      </c>
      <c r="E30" s="2" t="s">
        <v>2656</v>
      </c>
      <c r="F30" s="2" t="s">
        <v>2657</v>
      </c>
      <c r="G30" s="2" t="s">
        <v>8</v>
      </c>
      <c r="H30" s="2" t="s">
        <v>695</v>
      </c>
      <c r="I30" s="2" t="s">
        <v>16</v>
      </c>
    </row>
    <row r="31" spans="1:9">
      <c r="A31" s="2" t="s">
        <v>2560</v>
      </c>
      <c r="B31" s="2" t="s">
        <v>2658</v>
      </c>
      <c r="C31" s="2" t="s">
        <v>2659</v>
      </c>
      <c r="D31" s="2" t="s">
        <v>2660</v>
      </c>
      <c r="E31" s="2" t="s">
        <v>708</v>
      </c>
      <c r="F31" s="2" t="s">
        <v>2661</v>
      </c>
      <c r="G31" s="2" t="s">
        <v>7</v>
      </c>
      <c r="H31" s="2" t="s">
        <v>695</v>
      </c>
      <c r="I31" s="2" t="s">
        <v>700</v>
      </c>
    </row>
    <row r="32" spans="1:9">
      <c r="A32" s="2" t="s">
        <v>2560</v>
      </c>
      <c r="B32" s="2" t="s">
        <v>1440</v>
      </c>
      <c r="C32" s="2" t="s">
        <v>2662</v>
      </c>
      <c r="D32" s="2" t="s">
        <v>2663</v>
      </c>
      <c r="E32" s="2" t="s">
        <v>709</v>
      </c>
      <c r="F32" s="2" t="s">
        <v>2664</v>
      </c>
      <c r="G32" s="2" t="s">
        <v>7</v>
      </c>
      <c r="H32" s="2" t="s">
        <v>179</v>
      </c>
      <c r="I32" s="2" t="s">
        <v>710</v>
      </c>
    </row>
    <row r="33" spans="1:9">
      <c r="A33" s="2" t="s">
        <v>2560</v>
      </c>
      <c r="B33" s="2" t="s">
        <v>2665</v>
      </c>
      <c r="C33" s="2" t="s">
        <v>2666</v>
      </c>
      <c r="D33" s="2" t="s">
        <v>2667</v>
      </c>
      <c r="E33" s="2" t="s">
        <v>711</v>
      </c>
      <c r="F33" s="2" t="s">
        <v>2668</v>
      </c>
      <c r="G33" s="2" t="s">
        <v>7</v>
      </c>
      <c r="H33" s="2" t="s">
        <v>695</v>
      </c>
      <c r="I33" s="2" t="s">
        <v>712</v>
      </c>
    </row>
    <row r="34" spans="1:9">
      <c r="A34" s="2" t="s">
        <v>2560</v>
      </c>
      <c r="B34" s="2" t="s">
        <v>2470</v>
      </c>
      <c r="C34" s="2" t="s">
        <v>2669</v>
      </c>
      <c r="D34" s="2" t="s">
        <v>2670</v>
      </c>
      <c r="E34" s="2" t="s">
        <v>713</v>
      </c>
      <c r="F34" s="2" t="s">
        <v>2671</v>
      </c>
      <c r="G34" s="2" t="s">
        <v>7</v>
      </c>
      <c r="H34" s="2" t="s">
        <v>179</v>
      </c>
      <c r="I34" s="2" t="s">
        <v>15</v>
      </c>
    </row>
    <row r="35" spans="1:9">
      <c r="A35" s="2" t="s">
        <v>2560</v>
      </c>
      <c r="B35" s="2" t="s">
        <v>2345</v>
      </c>
      <c r="C35" s="2" t="s">
        <v>2642</v>
      </c>
      <c r="D35" s="2" t="s">
        <v>2672</v>
      </c>
      <c r="E35" s="2" t="s">
        <v>714</v>
      </c>
      <c r="F35" s="2" t="s">
        <v>2673</v>
      </c>
      <c r="G35" s="2" t="s">
        <v>8</v>
      </c>
      <c r="H35" s="2" t="s">
        <v>691</v>
      </c>
      <c r="I35" s="2" t="s">
        <v>15</v>
      </c>
    </row>
    <row r="36" spans="1:9">
      <c r="A36" s="2" t="s">
        <v>2560</v>
      </c>
      <c r="B36" s="2" t="s">
        <v>2674</v>
      </c>
      <c r="C36" s="2" t="s">
        <v>2675</v>
      </c>
      <c r="D36" s="2" t="s">
        <v>2676</v>
      </c>
      <c r="E36" s="2" t="s">
        <v>715</v>
      </c>
      <c r="F36" s="2" t="s">
        <v>2677</v>
      </c>
      <c r="G36" s="2" t="s">
        <v>7</v>
      </c>
      <c r="H36" s="2">
        <v>46</v>
      </c>
      <c r="I36" s="2" t="s">
        <v>15</v>
      </c>
    </row>
    <row r="37" spans="1:9">
      <c r="A37" s="2" t="s">
        <v>2560</v>
      </c>
      <c r="B37" s="2" t="s">
        <v>1567</v>
      </c>
      <c r="C37" s="2" t="s">
        <v>2678</v>
      </c>
      <c r="D37" s="2" t="s">
        <v>2679</v>
      </c>
      <c r="E37" s="2" t="s">
        <v>716</v>
      </c>
      <c r="F37" s="2" t="s">
        <v>2680</v>
      </c>
      <c r="G37" s="2" t="s">
        <v>8</v>
      </c>
      <c r="H37" s="2" t="s">
        <v>179</v>
      </c>
      <c r="I37" s="2" t="s">
        <v>16</v>
      </c>
    </row>
    <row r="38" spans="1:9">
      <c r="A38" s="2" t="s">
        <v>2560</v>
      </c>
      <c r="B38" s="2" t="s">
        <v>2681</v>
      </c>
      <c r="C38" s="2" t="s">
        <v>2682</v>
      </c>
      <c r="D38" s="2" t="s">
        <v>2683</v>
      </c>
      <c r="E38" s="2" t="s">
        <v>713</v>
      </c>
      <c r="F38" s="2" t="s">
        <v>2684</v>
      </c>
      <c r="G38" s="2" t="s">
        <v>7</v>
      </c>
      <c r="H38" s="2" t="s">
        <v>179</v>
      </c>
      <c r="I38" s="2" t="s">
        <v>15</v>
      </c>
    </row>
    <row r="39" spans="1:9">
      <c r="A39" s="2" t="s">
        <v>2560</v>
      </c>
      <c r="B39" s="2" t="s">
        <v>2685</v>
      </c>
      <c r="C39" s="2" t="s">
        <v>2686</v>
      </c>
      <c r="D39" s="2" t="s">
        <v>2596</v>
      </c>
      <c r="E39" s="2" t="s">
        <v>717</v>
      </c>
      <c r="F39" s="2" t="s">
        <v>2687</v>
      </c>
      <c r="G39" s="2" t="s">
        <v>7</v>
      </c>
      <c r="H39" s="2" t="s">
        <v>691</v>
      </c>
      <c r="I39" s="2" t="s">
        <v>23</v>
      </c>
    </row>
    <row r="40" spans="1:9">
      <c r="A40" s="2" t="s">
        <v>2560</v>
      </c>
      <c r="B40" s="2" t="s">
        <v>2688</v>
      </c>
      <c r="C40" s="2" t="s">
        <v>2689</v>
      </c>
      <c r="D40" s="2" t="s">
        <v>2690</v>
      </c>
      <c r="E40" s="2" t="s">
        <v>718</v>
      </c>
      <c r="F40" s="2" t="s">
        <v>2691</v>
      </c>
      <c r="G40" s="2" t="s">
        <v>8</v>
      </c>
      <c r="H40" s="2" t="s">
        <v>695</v>
      </c>
      <c r="I40" s="2" t="s">
        <v>16</v>
      </c>
    </row>
    <row r="41" spans="1:9">
      <c r="A41" s="2" t="s">
        <v>2560</v>
      </c>
      <c r="B41" s="2" t="s">
        <v>2692</v>
      </c>
      <c r="C41" s="2" t="s">
        <v>2693</v>
      </c>
      <c r="D41" s="2" t="s">
        <v>2694</v>
      </c>
      <c r="E41" s="2" t="s">
        <v>719</v>
      </c>
      <c r="F41" s="2" t="s">
        <v>2695</v>
      </c>
      <c r="G41" s="2" t="s">
        <v>8</v>
      </c>
      <c r="H41" s="2" t="s">
        <v>698</v>
      </c>
      <c r="I41" s="2" t="s">
        <v>16</v>
      </c>
    </row>
    <row r="42" spans="1:9">
      <c r="A42" s="2" t="s">
        <v>2560</v>
      </c>
      <c r="B42" s="2" t="s">
        <v>2518</v>
      </c>
      <c r="C42" s="2" t="s">
        <v>2669</v>
      </c>
      <c r="D42" s="2" t="s">
        <v>2696</v>
      </c>
      <c r="E42" s="2" t="s">
        <v>720</v>
      </c>
      <c r="F42" s="2" t="s">
        <v>2697</v>
      </c>
      <c r="G42" s="2" t="s">
        <v>7</v>
      </c>
      <c r="H42" s="2" t="s">
        <v>179</v>
      </c>
      <c r="I42" s="2" t="s">
        <v>15</v>
      </c>
    </row>
    <row r="43" spans="1:9">
      <c r="A43" s="2" t="s">
        <v>2560</v>
      </c>
      <c r="B43" s="2" t="s">
        <v>1356</v>
      </c>
      <c r="C43" s="2" t="s">
        <v>2698</v>
      </c>
      <c r="D43" s="2" t="s">
        <v>2699</v>
      </c>
      <c r="E43" s="2" t="s">
        <v>2700</v>
      </c>
      <c r="F43" s="2" t="s">
        <v>2701</v>
      </c>
      <c r="G43" s="2" t="s">
        <v>8</v>
      </c>
      <c r="H43" s="2" t="s">
        <v>691</v>
      </c>
      <c r="I43" s="2" t="s">
        <v>23</v>
      </c>
    </row>
    <row r="44" spans="1:9">
      <c r="A44" s="2" t="s">
        <v>2560</v>
      </c>
      <c r="B44" s="2" t="s">
        <v>1428</v>
      </c>
      <c r="C44" s="2" t="s">
        <v>2702</v>
      </c>
      <c r="D44" s="2" t="s">
        <v>2703</v>
      </c>
      <c r="E44" s="2" t="s">
        <v>721</v>
      </c>
      <c r="F44" s="2" t="s">
        <v>2704</v>
      </c>
      <c r="G44" s="2" t="s">
        <v>8</v>
      </c>
      <c r="H44" s="2" t="s">
        <v>698</v>
      </c>
      <c r="I44" s="2" t="s">
        <v>710</v>
      </c>
    </row>
    <row r="45" spans="1:9">
      <c r="A45" s="2" t="s">
        <v>2560</v>
      </c>
      <c r="B45" s="2" t="s">
        <v>2496</v>
      </c>
      <c r="C45" s="2" t="s">
        <v>2705</v>
      </c>
      <c r="D45" s="2" t="s">
        <v>2706</v>
      </c>
      <c r="E45" s="2" t="s">
        <v>722</v>
      </c>
      <c r="F45" s="2" t="s">
        <v>2707</v>
      </c>
      <c r="G45" s="2" t="s">
        <v>8</v>
      </c>
      <c r="H45" s="2">
        <v>46</v>
      </c>
      <c r="I45" s="2" t="s">
        <v>18</v>
      </c>
    </row>
    <row r="46" spans="1:9">
      <c r="A46" s="2" t="s">
        <v>2560</v>
      </c>
      <c r="B46" s="2" t="s">
        <v>2213</v>
      </c>
      <c r="C46" s="2" t="s">
        <v>2708</v>
      </c>
      <c r="D46" s="2" t="s">
        <v>2709</v>
      </c>
      <c r="E46" s="2" t="s">
        <v>723</v>
      </c>
      <c r="F46" s="2" t="s">
        <v>2710</v>
      </c>
      <c r="G46" s="2" t="s">
        <v>7</v>
      </c>
      <c r="H46" s="2" t="s">
        <v>698</v>
      </c>
      <c r="I46" s="2" t="s">
        <v>15</v>
      </c>
    </row>
    <row r="47" spans="1:9">
      <c r="A47" s="2" t="s">
        <v>2560</v>
      </c>
      <c r="B47" s="2" t="s">
        <v>2711</v>
      </c>
      <c r="C47" s="2" t="s">
        <v>2712</v>
      </c>
      <c r="D47" s="2" t="s">
        <v>2713</v>
      </c>
      <c r="E47" s="2" t="s">
        <v>2714</v>
      </c>
      <c r="F47" s="2" t="s">
        <v>2715</v>
      </c>
      <c r="G47" s="2" t="s">
        <v>8</v>
      </c>
      <c r="H47" s="2" t="s">
        <v>691</v>
      </c>
      <c r="I47" s="2" t="s">
        <v>23</v>
      </c>
    </row>
    <row r="48" spans="1:9">
      <c r="A48" s="2" t="s">
        <v>2560</v>
      </c>
      <c r="B48" s="2" t="s">
        <v>2459</v>
      </c>
      <c r="C48" s="2" t="s">
        <v>2716</v>
      </c>
      <c r="D48" s="2" t="s">
        <v>2717</v>
      </c>
      <c r="E48" s="2" t="s">
        <v>724</v>
      </c>
      <c r="F48" s="2" t="s">
        <v>2718</v>
      </c>
      <c r="G48" s="2" t="s">
        <v>7</v>
      </c>
      <c r="H48" s="2" t="s">
        <v>179</v>
      </c>
      <c r="I48" s="2" t="s">
        <v>15</v>
      </c>
    </row>
    <row r="49" spans="1:9">
      <c r="A49" s="2" t="s">
        <v>2560</v>
      </c>
      <c r="B49" s="2" t="s">
        <v>1770</v>
      </c>
      <c r="C49" s="2" t="s">
        <v>2629</v>
      </c>
      <c r="D49" s="2" t="s">
        <v>2703</v>
      </c>
      <c r="E49" s="2" t="s">
        <v>725</v>
      </c>
      <c r="F49" s="2" t="s">
        <v>2719</v>
      </c>
      <c r="G49" s="2" t="s">
        <v>7</v>
      </c>
      <c r="H49" s="2" t="s">
        <v>179</v>
      </c>
      <c r="I49" s="2" t="s">
        <v>710</v>
      </c>
    </row>
    <row r="50" spans="1:9">
      <c r="A50" s="2" t="s">
        <v>2560</v>
      </c>
      <c r="B50" s="2" t="s">
        <v>2052</v>
      </c>
      <c r="C50" s="2" t="s">
        <v>2720</v>
      </c>
      <c r="D50" s="2" t="s">
        <v>2721</v>
      </c>
      <c r="E50" s="2" t="s">
        <v>726</v>
      </c>
      <c r="F50" s="2" t="s">
        <v>2722</v>
      </c>
      <c r="G50" s="2" t="s">
        <v>8</v>
      </c>
      <c r="H50" s="2" t="s">
        <v>179</v>
      </c>
      <c r="I50" s="2" t="s">
        <v>18</v>
      </c>
    </row>
    <row r="51" spans="1:9">
      <c r="A51" s="2" t="s">
        <v>2560</v>
      </c>
      <c r="B51" s="2" t="s">
        <v>2723</v>
      </c>
      <c r="C51" s="2" t="s">
        <v>2724</v>
      </c>
      <c r="D51" s="2" t="s">
        <v>2725</v>
      </c>
      <c r="E51" s="2" t="s">
        <v>2726</v>
      </c>
      <c r="F51" s="2" t="s">
        <v>2727</v>
      </c>
      <c r="G51" s="2" t="s">
        <v>7</v>
      </c>
      <c r="H51" s="2" t="s">
        <v>698</v>
      </c>
      <c r="I51" s="2" t="s">
        <v>15</v>
      </c>
    </row>
    <row r="52" spans="1:9">
      <c r="A52" s="2" t="s">
        <v>2560</v>
      </c>
      <c r="B52" s="2" t="s">
        <v>1153</v>
      </c>
      <c r="C52" s="2" t="s">
        <v>2728</v>
      </c>
      <c r="D52" s="2" t="s">
        <v>2729</v>
      </c>
      <c r="E52" s="2" t="s">
        <v>727</v>
      </c>
      <c r="F52" s="2" t="s">
        <v>2730</v>
      </c>
      <c r="G52" s="2" t="s">
        <v>8</v>
      </c>
      <c r="H52" s="2" t="s">
        <v>691</v>
      </c>
      <c r="I52" s="2" t="s">
        <v>23</v>
      </c>
    </row>
    <row r="53" spans="1:9">
      <c r="A53" s="2" t="s">
        <v>2560</v>
      </c>
      <c r="B53" s="2" t="s">
        <v>2731</v>
      </c>
      <c r="C53" s="2" t="s">
        <v>2732</v>
      </c>
      <c r="D53" s="2" t="s">
        <v>2733</v>
      </c>
      <c r="E53" s="2" t="s">
        <v>728</v>
      </c>
      <c r="F53" s="2" t="s">
        <v>2734</v>
      </c>
      <c r="G53" s="2" t="s">
        <v>8</v>
      </c>
      <c r="H53" s="2">
        <v>46</v>
      </c>
      <c r="I53" s="2" t="s">
        <v>729</v>
      </c>
    </row>
    <row r="54" spans="1:9">
      <c r="A54" s="2" t="s">
        <v>2560</v>
      </c>
      <c r="B54" s="2" t="s">
        <v>903</v>
      </c>
      <c r="C54" s="2" t="s">
        <v>2735</v>
      </c>
      <c r="D54" s="2" t="s">
        <v>2736</v>
      </c>
      <c r="E54" s="2" t="s">
        <v>730</v>
      </c>
      <c r="F54" s="2" t="s">
        <v>2737</v>
      </c>
      <c r="G54" s="2" t="s">
        <v>8</v>
      </c>
      <c r="H54" s="2">
        <v>46</v>
      </c>
      <c r="I54" s="2" t="s">
        <v>18</v>
      </c>
    </row>
    <row r="55" spans="1:9">
      <c r="A55" s="2" t="s">
        <v>2560</v>
      </c>
      <c r="B55" s="2" t="s">
        <v>2522</v>
      </c>
      <c r="C55" s="2" t="s">
        <v>2669</v>
      </c>
      <c r="D55" s="2" t="s">
        <v>2738</v>
      </c>
      <c r="E55" s="2" t="s">
        <v>731</v>
      </c>
      <c r="F55" s="2" t="s">
        <v>2739</v>
      </c>
      <c r="G55" s="2" t="s">
        <v>7</v>
      </c>
      <c r="H55" s="2" t="s">
        <v>695</v>
      </c>
      <c r="I55" s="2" t="s">
        <v>15</v>
      </c>
    </row>
    <row r="56" spans="1:9">
      <c r="A56" s="2" t="s">
        <v>2560</v>
      </c>
      <c r="B56" s="2" t="s">
        <v>2740</v>
      </c>
      <c r="C56" s="2" t="s">
        <v>2741</v>
      </c>
      <c r="D56" s="2" t="s">
        <v>2742</v>
      </c>
      <c r="E56" s="2" t="s">
        <v>732</v>
      </c>
      <c r="F56" s="2" t="s">
        <v>2743</v>
      </c>
      <c r="G56" s="2" t="s">
        <v>7</v>
      </c>
      <c r="H56" s="2" t="s">
        <v>691</v>
      </c>
      <c r="I56" s="2" t="s">
        <v>16</v>
      </c>
    </row>
    <row r="57" spans="1:9">
      <c r="A57" s="2" t="s">
        <v>2560</v>
      </c>
      <c r="B57" s="2" t="s">
        <v>2744</v>
      </c>
      <c r="C57" s="2" t="s">
        <v>2745</v>
      </c>
      <c r="D57" s="2" t="s">
        <v>2746</v>
      </c>
      <c r="E57" s="2" t="s">
        <v>269</v>
      </c>
      <c r="F57" s="2" t="s">
        <v>2747</v>
      </c>
      <c r="G57" s="2" t="s">
        <v>7</v>
      </c>
      <c r="H57" s="2" t="s">
        <v>698</v>
      </c>
      <c r="I57" s="2" t="s">
        <v>15</v>
      </c>
    </row>
    <row r="58" spans="1:9">
      <c r="A58" s="2" t="s">
        <v>2560</v>
      </c>
      <c r="B58" s="2" t="s">
        <v>2388</v>
      </c>
      <c r="C58" s="2" t="s">
        <v>2748</v>
      </c>
      <c r="D58" s="2" t="s">
        <v>2749</v>
      </c>
      <c r="E58" s="2" t="s">
        <v>733</v>
      </c>
      <c r="F58" s="2" t="s">
        <v>2750</v>
      </c>
      <c r="G58" s="2" t="s">
        <v>7</v>
      </c>
      <c r="H58" s="2">
        <v>46</v>
      </c>
      <c r="I58" s="2" t="s">
        <v>15</v>
      </c>
    </row>
    <row r="59" spans="1:9">
      <c r="A59" s="2" t="s">
        <v>2560</v>
      </c>
      <c r="B59" s="2" t="s">
        <v>2751</v>
      </c>
      <c r="C59" s="2" t="s">
        <v>2752</v>
      </c>
      <c r="D59" s="2" t="s">
        <v>2753</v>
      </c>
      <c r="E59" s="2" t="s">
        <v>734</v>
      </c>
      <c r="F59" s="2" t="s">
        <v>2754</v>
      </c>
      <c r="G59" s="2" t="s">
        <v>8</v>
      </c>
      <c r="H59" s="2" t="s">
        <v>695</v>
      </c>
      <c r="I59" s="2" t="s">
        <v>710</v>
      </c>
    </row>
    <row r="60" spans="1:9">
      <c r="A60" s="2" t="s">
        <v>2560</v>
      </c>
      <c r="B60" s="2" t="s">
        <v>2755</v>
      </c>
      <c r="C60" s="2" t="s">
        <v>2705</v>
      </c>
      <c r="D60" s="2" t="s">
        <v>2756</v>
      </c>
      <c r="E60" s="2" t="s">
        <v>716</v>
      </c>
      <c r="F60" s="2" t="s">
        <v>2757</v>
      </c>
      <c r="G60" s="2" t="s">
        <v>8</v>
      </c>
      <c r="H60" s="2" t="s">
        <v>179</v>
      </c>
      <c r="I60" s="2" t="s">
        <v>16</v>
      </c>
    </row>
    <row r="61" spans="1:9">
      <c r="A61" s="2" t="s">
        <v>535</v>
      </c>
      <c r="B61" s="2" t="s">
        <v>2758</v>
      </c>
      <c r="C61" s="2" t="s">
        <v>2759</v>
      </c>
      <c r="D61" s="2" t="s">
        <v>2760</v>
      </c>
      <c r="E61" s="2" t="s">
        <v>808</v>
      </c>
      <c r="F61" s="2" t="s">
        <v>2761</v>
      </c>
      <c r="G61" s="2" t="s">
        <v>8</v>
      </c>
      <c r="H61" s="2">
        <v>46</v>
      </c>
      <c r="I61" s="2" t="s">
        <v>15</v>
      </c>
    </row>
    <row r="62" spans="1:9">
      <c r="A62" s="2" t="s">
        <v>2560</v>
      </c>
      <c r="B62" s="2" t="s">
        <v>2762</v>
      </c>
      <c r="C62" s="2" t="s">
        <v>2763</v>
      </c>
      <c r="D62" s="2" t="s">
        <v>2566</v>
      </c>
      <c r="E62" s="2" t="s">
        <v>2585</v>
      </c>
      <c r="F62" s="2" t="s">
        <v>2764</v>
      </c>
      <c r="G62" s="2" t="s">
        <v>7</v>
      </c>
      <c r="H62" s="2" t="s">
        <v>179</v>
      </c>
      <c r="I62" s="2" t="s">
        <v>15</v>
      </c>
    </row>
    <row r="63" spans="1:9">
      <c r="A63" s="2" t="s">
        <v>2560</v>
      </c>
      <c r="B63" s="2" t="s">
        <v>2765</v>
      </c>
      <c r="C63" s="2" t="s">
        <v>2766</v>
      </c>
      <c r="D63" s="2" t="s">
        <v>2767</v>
      </c>
      <c r="E63" s="2" t="s">
        <v>2768</v>
      </c>
      <c r="F63" s="2" t="s">
        <v>2769</v>
      </c>
      <c r="G63" s="2" t="s">
        <v>8</v>
      </c>
      <c r="H63" s="2" t="s">
        <v>695</v>
      </c>
      <c r="I63" s="2" t="s">
        <v>700</v>
      </c>
    </row>
    <row r="64" spans="1:9">
      <c r="A64" s="2" t="s">
        <v>2560</v>
      </c>
      <c r="B64" s="2" t="s">
        <v>2770</v>
      </c>
      <c r="C64" s="2" t="s">
        <v>2771</v>
      </c>
      <c r="D64" s="2" t="s">
        <v>2772</v>
      </c>
      <c r="E64" s="2" t="s">
        <v>735</v>
      </c>
      <c r="F64" s="2" t="s">
        <v>2773</v>
      </c>
      <c r="G64" s="2" t="s">
        <v>8</v>
      </c>
      <c r="H64" s="2">
        <v>46</v>
      </c>
      <c r="I64" s="2" t="s">
        <v>23</v>
      </c>
    </row>
    <row r="65" spans="1:9">
      <c r="A65" s="2" t="s">
        <v>2560</v>
      </c>
      <c r="B65" s="2" t="s">
        <v>2774</v>
      </c>
      <c r="C65" s="2" t="s">
        <v>2775</v>
      </c>
      <c r="D65" s="2" t="s">
        <v>2776</v>
      </c>
      <c r="E65" s="2" t="s">
        <v>808</v>
      </c>
      <c r="F65" s="2" t="s">
        <v>2777</v>
      </c>
      <c r="G65" s="2" t="s">
        <v>8</v>
      </c>
      <c r="H65" s="2" t="s">
        <v>695</v>
      </c>
      <c r="I65" s="2" t="s">
        <v>15</v>
      </c>
    </row>
    <row r="66" spans="1:9">
      <c r="A66" s="2" t="s">
        <v>2560</v>
      </c>
      <c r="B66" s="2" t="s">
        <v>2491</v>
      </c>
      <c r="C66" s="2" t="s">
        <v>2778</v>
      </c>
      <c r="D66" s="2" t="s">
        <v>2779</v>
      </c>
      <c r="E66" s="2" t="s">
        <v>736</v>
      </c>
      <c r="F66" s="2" t="s">
        <v>2780</v>
      </c>
      <c r="G66" s="2" t="s">
        <v>8</v>
      </c>
      <c r="H66" s="2" t="s">
        <v>695</v>
      </c>
      <c r="I66" s="2" t="s">
        <v>25</v>
      </c>
    </row>
    <row r="67" spans="1:9">
      <c r="A67" s="2" t="s">
        <v>2560</v>
      </c>
      <c r="B67" s="2" t="s">
        <v>1966</v>
      </c>
      <c r="C67" s="2" t="s">
        <v>2781</v>
      </c>
      <c r="D67" s="2" t="s">
        <v>2782</v>
      </c>
      <c r="E67" s="2" t="s">
        <v>737</v>
      </c>
      <c r="F67" s="2" t="s">
        <v>2783</v>
      </c>
      <c r="G67" s="2" t="s">
        <v>8</v>
      </c>
      <c r="H67" s="2" t="s">
        <v>698</v>
      </c>
      <c r="I67" s="2" t="s">
        <v>700</v>
      </c>
    </row>
    <row r="68" spans="1:9">
      <c r="A68" s="2" t="s">
        <v>2560</v>
      </c>
      <c r="B68" s="2" t="s">
        <v>1913</v>
      </c>
      <c r="C68" s="2" t="s">
        <v>2784</v>
      </c>
      <c r="D68" s="2" t="s">
        <v>2784</v>
      </c>
      <c r="E68" s="2" t="s">
        <v>738</v>
      </c>
      <c r="F68" s="2" t="s">
        <v>2785</v>
      </c>
      <c r="G68" s="2" t="s">
        <v>8</v>
      </c>
      <c r="H68" s="2" t="s">
        <v>691</v>
      </c>
      <c r="I68" s="2" t="s">
        <v>700</v>
      </c>
    </row>
    <row r="69" spans="1:9">
      <c r="A69" s="2" t="s">
        <v>2560</v>
      </c>
      <c r="B69" s="2" t="s">
        <v>2786</v>
      </c>
      <c r="C69" s="2" t="s">
        <v>2787</v>
      </c>
      <c r="D69" s="2" t="s">
        <v>2788</v>
      </c>
      <c r="E69" s="2" t="s">
        <v>739</v>
      </c>
      <c r="F69" s="2" t="s">
        <v>2789</v>
      </c>
      <c r="G69" s="2" t="s">
        <v>7</v>
      </c>
      <c r="H69" s="2" t="s">
        <v>179</v>
      </c>
      <c r="I69" s="2" t="s">
        <v>740</v>
      </c>
    </row>
    <row r="70" spans="1:9">
      <c r="A70" s="2" t="s">
        <v>2560</v>
      </c>
      <c r="B70" s="2" t="s">
        <v>2790</v>
      </c>
      <c r="C70" s="2" t="s">
        <v>2791</v>
      </c>
      <c r="D70" s="2" t="s">
        <v>2792</v>
      </c>
      <c r="E70" s="2" t="s">
        <v>741</v>
      </c>
      <c r="F70" s="2" t="s">
        <v>2793</v>
      </c>
      <c r="G70" s="2" t="s">
        <v>8</v>
      </c>
      <c r="H70" s="2" t="s">
        <v>695</v>
      </c>
      <c r="I70" s="2" t="s">
        <v>18</v>
      </c>
    </row>
    <row r="71" spans="1:9">
      <c r="A71" s="2" t="s">
        <v>2560</v>
      </c>
      <c r="B71" s="2" t="s">
        <v>2794</v>
      </c>
      <c r="C71" s="2" t="s">
        <v>2795</v>
      </c>
      <c r="D71" s="2" t="s">
        <v>2796</v>
      </c>
      <c r="E71" s="2" t="s">
        <v>2797</v>
      </c>
      <c r="F71" s="2" t="s">
        <v>2798</v>
      </c>
      <c r="G71" s="2" t="s">
        <v>8</v>
      </c>
      <c r="H71" s="2" t="s">
        <v>698</v>
      </c>
      <c r="I71" s="2" t="s">
        <v>16</v>
      </c>
    </row>
    <row r="72" spans="1:9">
      <c r="A72" s="2" t="s">
        <v>2560</v>
      </c>
      <c r="B72" s="2" t="s">
        <v>2799</v>
      </c>
      <c r="C72" s="2" t="s">
        <v>2745</v>
      </c>
      <c r="D72" s="2" t="s">
        <v>2800</v>
      </c>
      <c r="E72" s="2" t="s">
        <v>742</v>
      </c>
      <c r="F72" s="2" t="s">
        <v>2801</v>
      </c>
      <c r="G72" s="2" t="s">
        <v>7</v>
      </c>
      <c r="H72" s="2" t="s">
        <v>695</v>
      </c>
      <c r="I72" s="2" t="s">
        <v>15</v>
      </c>
    </row>
    <row r="73" spans="1:9">
      <c r="A73" s="2" t="s">
        <v>535</v>
      </c>
      <c r="B73" s="2" t="s">
        <v>2802</v>
      </c>
      <c r="C73" s="2" t="s">
        <v>2803</v>
      </c>
      <c r="D73" s="2" t="s">
        <v>2804</v>
      </c>
      <c r="E73" s="2" t="s">
        <v>2805</v>
      </c>
      <c r="F73" s="2" t="s">
        <v>2806</v>
      </c>
      <c r="G73" s="2" t="s">
        <v>8</v>
      </c>
      <c r="H73" s="2" t="s">
        <v>695</v>
      </c>
      <c r="I73" s="2" t="s">
        <v>18</v>
      </c>
    </row>
    <row r="74" spans="1:9">
      <c r="A74" s="2" t="s">
        <v>2560</v>
      </c>
      <c r="B74" s="2" t="s">
        <v>2807</v>
      </c>
      <c r="C74" s="2" t="s">
        <v>2808</v>
      </c>
      <c r="D74" s="2" t="s">
        <v>2809</v>
      </c>
      <c r="E74" s="2" t="s">
        <v>809</v>
      </c>
      <c r="F74" s="2" t="s">
        <v>2810</v>
      </c>
      <c r="G74" s="2" t="s">
        <v>7</v>
      </c>
      <c r="H74" s="2">
        <v>46</v>
      </c>
      <c r="I74" s="2" t="s">
        <v>15</v>
      </c>
    </row>
    <row r="75" spans="1:9">
      <c r="A75" s="2" t="s">
        <v>2560</v>
      </c>
      <c r="B75" s="2" t="s">
        <v>2811</v>
      </c>
      <c r="C75" s="2" t="s">
        <v>2812</v>
      </c>
      <c r="D75" s="2" t="s">
        <v>2813</v>
      </c>
      <c r="E75" s="2" t="s">
        <v>2814</v>
      </c>
      <c r="F75" s="2" t="s">
        <v>2815</v>
      </c>
      <c r="G75" s="2" t="s">
        <v>8</v>
      </c>
      <c r="H75" s="2" t="s">
        <v>698</v>
      </c>
      <c r="I75" s="2" t="s">
        <v>770</v>
      </c>
    </row>
    <row r="76" spans="1:9">
      <c r="A76" s="2" t="s">
        <v>2560</v>
      </c>
      <c r="B76" s="2" t="s">
        <v>2816</v>
      </c>
      <c r="C76" s="2" t="s">
        <v>2817</v>
      </c>
      <c r="D76" s="2" t="s">
        <v>2818</v>
      </c>
      <c r="E76" s="2" t="s">
        <v>743</v>
      </c>
      <c r="F76" s="2" t="s">
        <v>2783</v>
      </c>
      <c r="G76" s="2" t="s">
        <v>8</v>
      </c>
      <c r="H76" s="2" t="s">
        <v>698</v>
      </c>
      <c r="I76" s="2" t="s">
        <v>700</v>
      </c>
    </row>
    <row r="77" spans="1:9">
      <c r="A77" s="2" t="s">
        <v>2560</v>
      </c>
      <c r="B77" s="2" t="s">
        <v>2819</v>
      </c>
      <c r="C77" s="2" t="s">
        <v>2820</v>
      </c>
      <c r="D77" s="2" t="s">
        <v>2651</v>
      </c>
      <c r="E77" s="2" t="s">
        <v>2821</v>
      </c>
      <c r="F77" s="2" t="s">
        <v>2822</v>
      </c>
      <c r="G77" s="2" t="s">
        <v>8</v>
      </c>
      <c r="H77" s="2" t="s">
        <v>691</v>
      </c>
      <c r="I77" s="2" t="s">
        <v>700</v>
      </c>
    </row>
    <row r="78" spans="1:9">
      <c r="A78" s="2" t="s">
        <v>2560</v>
      </c>
      <c r="B78" s="2" t="s">
        <v>2823</v>
      </c>
      <c r="C78" s="2" t="s">
        <v>2824</v>
      </c>
      <c r="D78" s="2" t="s">
        <v>2825</v>
      </c>
      <c r="E78" s="2" t="s">
        <v>744</v>
      </c>
      <c r="F78" s="2" t="s">
        <v>2826</v>
      </c>
      <c r="G78" s="2" t="s">
        <v>8</v>
      </c>
      <c r="H78" s="2" t="s">
        <v>698</v>
      </c>
      <c r="I78" s="2" t="s">
        <v>712</v>
      </c>
    </row>
    <row r="79" spans="1:9">
      <c r="A79" s="2" t="s">
        <v>2560</v>
      </c>
      <c r="B79" s="2" t="s">
        <v>2827</v>
      </c>
      <c r="C79" s="2" t="s">
        <v>2828</v>
      </c>
      <c r="D79" s="2" t="s">
        <v>2829</v>
      </c>
      <c r="E79" s="2" t="s">
        <v>724</v>
      </c>
      <c r="F79" s="2" t="s">
        <v>2830</v>
      </c>
      <c r="G79" s="2" t="s">
        <v>8</v>
      </c>
      <c r="H79" s="2" t="s">
        <v>179</v>
      </c>
      <c r="I79" s="2" t="s">
        <v>15</v>
      </c>
    </row>
    <row r="80" spans="1:9">
      <c r="A80" s="2" t="s">
        <v>2560</v>
      </c>
      <c r="B80" s="2" t="s">
        <v>2831</v>
      </c>
      <c r="C80" s="2" t="s">
        <v>2832</v>
      </c>
      <c r="D80" s="2" t="s">
        <v>2833</v>
      </c>
      <c r="E80" s="2" t="s">
        <v>745</v>
      </c>
      <c r="F80" s="2" t="s">
        <v>2834</v>
      </c>
      <c r="G80" s="2" t="s">
        <v>7</v>
      </c>
      <c r="H80" s="2" t="s">
        <v>698</v>
      </c>
      <c r="I80" s="2" t="s">
        <v>712</v>
      </c>
    </row>
    <row r="81" spans="1:9">
      <c r="A81" s="2" t="s">
        <v>2560</v>
      </c>
      <c r="B81" s="2" t="s">
        <v>1416</v>
      </c>
      <c r="C81" s="2" t="s">
        <v>2626</v>
      </c>
      <c r="D81" s="2" t="s">
        <v>2835</v>
      </c>
      <c r="E81" s="2" t="s">
        <v>746</v>
      </c>
      <c r="F81" s="2" t="s">
        <v>2836</v>
      </c>
      <c r="G81" s="2" t="s">
        <v>7</v>
      </c>
      <c r="H81" s="2" t="s">
        <v>698</v>
      </c>
      <c r="I81" s="2" t="s">
        <v>710</v>
      </c>
    </row>
    <row r="82" spans="1:9">
      <c r="A82" s="2" t="s">
        <v>2560</v>
      </c>
      <c r="B82" s="2" t="s">
        <v>976</v>
      </c>
      <c r="C82" s="2" t="s">
        <v>2837</v>
      </c>
      <c r="D82" s="2" t="s">
        <v>2838</v>
      </c>
      <c r="E82" s="2" t="s">
        <v>747</v>
      </c>
      <c r="F82" s="2" t="s">
        <v>2839</v>
      </c>
      <c r="G82" s="2" t="s">
        <v>7</v>
      </c>
      <c r="H82" s="2" t="s">
        <v>179</v>
      </c>
      <c r="I82" s="2" t="s">
        <v>16</v>
      </c>
    </row>
    <row r="83" spans="1:9">
      <c r="A83" s="2" t="s">
        <v>2560</v>
      </c>
      <c r="B83" s="2" t="s">
        <v>2840</v>
      </c>
      <c r="C83" s="2" t="s">
        <v>2841</v>
      </c>
      <c r="D83" s="2" t="s">
        <v>2842</v>
      </c>
      <c r="E83" s="2" t="s">
        <v>809</v>
      </c>
      <c r="F83" s="2" t="s">
        <v>2843</v>
      </c>
      <c r="G83" s="2" t="s">
        <v>8</v>
      </c>
      <c r="H83" s="2">
        <v>46</v>
      </c>
      <c r="I83" s="2" t="s">
        <v>15</v>
      </c>
    </row>
    <row r="84" spans="1:9">
      <c r="A84" s="2" t="s">
        <v>2560</v>
      </c>
      <c r="B84" s="2" t="s">
        <v>2844</v>
      </c>
      <c r="C84" s="2" t="s">
        <v>2845</v>
      </c>
      <c r="D84" s="2" t="s">
        <v>2846</v>
      </c>
      <c r="E84" s="2" t="s">
        <v>748</v>
      </c>
      <c r="F84" s="2" t="s">
        <v>2847</v>
      </c>
      <c r="G84" s="2" t="s">
        <v>7</v>
      </c>
      <c r="H84" s="2" t="s">
        <v>691</v>
      </c>
      <c r="I84" s="2" t="s">
        <v>712</v>
      </c>
    </row>
    <row r="85" spans="1:9">
      <c r="A85" s="2" t="s">
        <v>2560</v>
      </c>
      <c r="B85" s="2" t="s">
        <v>2848</v>
      </c>
      <c r="C85" s="2" t="s">
        <v>2849</v>
      </c>
      <c r="D85" s="2" t="s">
        <v>2850</v>
      </c>
      <c r="E85" s="2" t="s">
        <v>749</v>
      </c>
      <c r="F85" s="2" t="s">
        <v>2851</v>
      </c>
      <c r="G85" s="2" t="s">
        <v>7</v>
      </c>
      <c r="H85" s="2">
        <v>46</v>
      </c>
      <c r="I85" s="2" t="s">
        <v>18</v>
      </c>
    </row>
    <row r="86" spans="1:9">
      <c r="A86" s="2" t="s">
        <v>2560</v>
      </c>
      <c r="B86" s="2" t="s">
        <v>2852</v>
      </c>
      <c r="C86" s="2" t="s">
        <v>2853</v>
      </c>
      <c r="D86" s="2" t="s">
        <v>2854</v>
      </c>
      <c r="E86" s="2" t="s">
        <v>750</v>
      </c>
      <c r="F86" s="2" t="s">
        <v>2855</v>
      </c>
      <c r="G86" s="2" t="s">
        <v>8</v>
      </c>
      <c r="H86" s="2">
        <v>46</v>
      </c>
      <c r="I86" s="2" t="s">
        <v>710</v>
      </c>
    </row>
    <row r="87" spans="1:9">
      <c r="A87" s="2" t="s">
        <v>2560</v>
      </c>
      <c r="B87" s="2" t="s">
        <v>2856</v>
      </c>
      <c r="C87" s="2" t="s">
        <v>2857</v>
      </c>
      <c r="D87" s="2" t="s">
        <v>2858</v>
      </c>
      <c r="E87" s="2" t="s">
        <v>751</v>
      </c>
      <c r="F87" s="2" t="s">
        <v>2859</v>
      </c>
      <c r="G87" s="2" t="s">
        <v>8</v>
      </c>
      <c r="H87" s="2" t="s">
        <v>691</v>
      </c>
      <c r="I87" s="2" t="s">
        <v>23</v>
      </c>
    </row>
    <row r="88" spans="1:9">
      <c r="A88" s="2" t="s">
        <v>2560</v>
      </c>
      <c r="B88" s="2" t="s">
        <v>2860</v>
      </c>
      <c r="C88" s="2" t="s">
        <v>2861</v>
      </c>
      <c r="D88" s="2" t="s">
        <v>2862</v>
      </c>
      <c r="E88" s="2" t="s">
        <v>752</v>
      </c>
      <c r="F88" s="2" t="s">
        <v>2863</v>
      </c>
      <c r="G88" s="2" t="s">
        <v>8</v>
      </c>
      <c r="H88" s="2" t="s">
        <v>698</v>
      </c>
      <c r="I88" s="2" t="s">
        <v>16</v>
      </c>
    </row>
    <row r="89" spans="1:9">
      <c r="A89" s="2" t="s">
        <v>2560</v>
      </c>
      <c r="B89" s="2" t="s">
        <v>2864</v>
      </c>
      <c r="C89" s="2" t="s">
        <v>2865</v>
      </c>
      <c r="D89" s="2" t="s">
        <v>2682</v>
      </c>
      <c r="E89" s="2" t="s">
        <v>2866</v>
      </c>
      <c r="F89" s="2" t="s">
        <v>2867</v>
      </c>
      <c r="G89" s="2" t="s">
        <v>8</v>
      </c>
      <c r="H89" s="2">
        <v>46</v>
      </c>
      <c r="I89" s="2" t="s">
        <v>16</v>
      </c>
    </row>
    <row r="90" spans="1:9">
      <c r="A90" s="2" t="s">
        <v>2560</v>
      </c>
      <c r="B90" s="2" t="s">
        <v>1135</v>
      </c>
      <c r="C90" s="2" t="s">
        <v>2868</v>
      </c>
      <c r="D90" s="2" t="s">
        <v>2869</v>
      </c>
      <c r="E90" s="2" t="s">
        <v>1132</v>
      </c>
      <c r="F90" s="2" t="s">
        <v>2870</v>
      </c>
      <c r="G90" s="2" t="s">
        <v>8</v>
      </c>
      <c r="H90" s="2" t="s">
        <v>691</v>
      </c>
      <c r="I90" s="2" t="s">
        <v>700</v>
      </c>
    </row>
    <row r="91" spans="1:9">
      <c r="A91" s="2" t="s">
        <v>2560</v>
      </c>
      <c r="B91" s="2" t="s">
        <v>2871</v>
      </c>
      <c r="C91" s="2" t="s">
        <v>2872</v>
      </c>
      <c r="D91" s="2" t="s">
        <v>2873</v>
      </c>
      <c r="E91" s="2" t="s">
        <v>117</v>
      </c>
      <c r="F91" s="2" t="s">
        <v>2874</v>
      </c>
      <c r="G91" s="2" t="s">
        <v>7</v>
      </c>
      <c r="H91" s="2" t="s">
        <v>695</v>
      </c>
      <c r="I91" s="2" t="s">
        <v>16</v>
      </c>
    </row>
    <row r="92" spans="1:9">
      <c r="A92" s="2" t="s">
        <v>2560</v>
      </c>
      <c r="B92" s="2" t="s">
        <v>2875</v>
      </c>
      <c r="C92" s="2" t="s">
        <v>2876</v>
      </c>
      <c r="D92" s="2" t="s">
        <v>2877</v>
      </c>
      <c r="E92" s="2" t="s">
        <v>2878</v>
      </c>
      <c r="F92" s="2" t="s">
        <v>2879</v>
      </c>
      <c r="G92" s="2" t="s">
        <v>7</v>
      </c>
      <c r="H92" s="2" t="s">
        <v>695</v>
      </c>
      <c r="I92" s="2" t="s">
        <v>16</v>
      </c>
    </row>
    <row r="93" spans="1:9">
      <c r="A93" s="2" t="s">
        <v>2560</v>
      </c>
      <c r="B93" s="2" t="s">
        <v>1113</v>
      </c>
      <c r="C93" s="2" t="s">
        <v>2880</v>
      </c>
      <c r="D93" s="2" t="s">
        <v>2881</v>
      </c>
      <c r="E93" s="2" t="s">
        <v>2882</v>
      </c>
      <c r="F93" s="2" t="s">
        <v>2883</v>
      </c>
      <c r="G93" s="2" t="s">
        <v>8</v>
      </c>
      <c r="H93" s="2" t="s">
        <v>691</v>
      </c>
      <c r="I93" s="2" t="s">
        <v>23</v>
      </c>
    </row>
    <row r="94" spans="1:9">
      <c r="A94" s="2" t="s">
        <v>2560</v>
      </c>
      <c r="B94" s="2" t="s">
        <v>948</v>
      </c>
      <c r="C94" s="2" t="s">
        <v>2884</v>
      </c>
      <c r="D94" s="2" t="s">
        <v>2885</v>
      </c>
      <c r="E94" s="2" t="s">
        <v>2886</v>
      </c>
      <c r="F94" s="2" t="s">
        <v>2887</v>
      </c>
      <c r="G94" s="2" t="s">
        <v>7</v>
      </c>
      <c r="H94" s="2" t="s">
        <v>695</v>
      </c>
      <c r="I94" s="2" t="s">
        <v>16</v>
      </c>
    </row>
    <row r="95" spans="1:9">
      <c r="A95" s="2" t="s">
        <v>535</v>
      </c>
      <c r="B95" s="2" t="s">
        <v>2888</v>
      </c>
      <c r="C95" s="2" t="s">
        <v>2889</v>
      </c>
      <c r="D95" s="2" t="s">
        <v>2890</v>
      </c>
      <c r="E95" s="2"/>
      <c r="F95" s="2" t="s">
        <v>2891</v>
      </c>
      <c r="G95" s="2" t="s">
        <v>8</v>
      </c>
      <c r="H95" s="2" t="s">
        <v>698</v>
      </c>
      <c r="I95" s="2" t="s">
        <v>729</v>
      </c>
    </row>
    <row r="96" spans="1:9">
      <c r="A96" s="2" t="s">
        <v>2560</v>
      </c>
      <c r="B96" s="2" t="s">
        <v>2892</v>
      </c>
      <c r="C96" s="2" t="s">
        <v>2893</v>
      </c>
      <c r="D96" s="2" t="s">
        <v>2894</v>
      </c>
      <c r="E96" s="2" t="s">
        <v>753</v>
      </c>
      <c r="F96" s="2" t="s">
        <v>2895</v>
      </c>
      <c r="G96" s="2" t="s">
        <v>7</v>
      </c>
      <c r="H96" s="2" t="s">
        <v>691</v>
      </c>
      <c r="I96" s="2" t="s">
        <v>23</v>
      </c>
    </row>
    <row r="97" spans="1:9">
      <c r="A97" s="2" t="s">
        <v>2560</v>
      </c>
      <c r="B97" s="2" t="s">
        <v>2896</v>
      </c>
      <c r="C97" s="2" t="s">
        <v>2897</v>
      </c>
      <c r="D97" s="2" t="s">
        <v>2898</v>
      </c>
      <c r="E97" s="2" t="s">
        <v>137</v>
      </c>
      <c r="F97" s="2" t="s">
        <v>2899</v>
      </c>
      <c r="G97" s="2" t="s">
        <v>7</v>
      </c>
      <c r="H97" s="2" t="s">
        <v>691</v>
      </c>
      <c r="I97" s="2" t="s">
        <v>16</v>
      </c>
    </row>
    <row r="98" spans="1:9">
      <c r="A98" s="2" t="s">
        <v>2560</v>
      </c>
      <c r="B98" s="2" t="s">
        <v>2900</v>
      </c>
      <c r="C98" s="2" t="s">
        <v>2901</v>
      </c>
      <c r="D98" s="2" t="s">
        <v>2902</v>
      </c>
      <c r="E98" s="2" t="s">
        <v>2903</v>
      </c>
      <c r="F98" s="2" t="s">
        <v>2904</v>
      </c>
      <c r="G98" s="2" t="s">
        <v>8</v>
      </c>
      <c r="H98" s="2">
        <v>46</v>
      </c>
      <c r="I98" s="2" t="s">
        <v>729</v>
      </c>
    </row>
    <row r="99" spans="1:9">
      <c r="A99" s="2" t="s">
        <v>2560</v>
      </c>
      <c r="B99" s="2" t="s">
        <v>2905</v>
      </c>
      <c r="C99" s="2" t="s">
        <v>2906</v>
      </c>
      <c r="D99" s="2" t="s">
        <v>2907</v>
      </c>
      <c r="E99" s="2" t="s">
        <v>137</v>
      </c>
      <c r="F99" s="2" t="s">
        <v>2908</v>
      </c>
      <c r="G99" s="2" t="s">
        <v>8</v>
      </c>
      <c r="H99" s="2" t="s">
        <v>691</v>
      </c>
      <c r="I99" s="2" t="s">
        <v>15</v>
      </c>
    </row>
    <row r="100" spans="1:9">
      <c r="A100" s="2" t="s">
        <v>2560</v>
      </c>
      <c r="B100" s="2" t="s">
        <v>2909</v>
      </c>
      <c r="C100" s="2" t="s">
        <v>2910</v>
      </c>
      <c r="D100" s="2" t="s">
        <v>2911</v>
      </c>
      <c r="E100" s="2" t="s">
        <v>2912</v>
      </c>
      <c r="F100" s="2" t="s">
        <v>2913</v>
      </c>
      <c r="G100" s="2" t="s">
        <v>8</v>
      </c>
      <c r="H100" s="2" t="s">
        <v>695</v>
      </c>
      <c r="I100" s="2" t="s">
        <v>770</v>
      </c>
    </row>
    <row r="101" spans="1:9">
      <c r="A101" s="2" t="s">
        <v>2560</v>
      </c>
      <c r="B101" s="2" t="s">
        <v>2914</v>
      </c>
      <c r="C101" s="2" t="s">
        <v>2915</v>
      </c>
      <c r="D101" s="2" t="s">
        <v>2916</v>
      </c>
      <c r="E101" s="2" t="s">
        <v>754</v>
      </c>
      <c r="F101" s="2" t="s">
        <v>2917</v>
      </c>
      <c r="G101" s="2" t="s">
        <v>8</v>
      </c>
      <c r="H101" s="2" t="s">
        <v>695</v>
      </c>
      <c r="I101" s="2" t="s">
        <v>16</v>
      </c>
    </row>
    <row r="102" spans="1:9">
      <c r="A102" s="2" t="s">
        <v>2560</v>
      </c>
      <c r="B102" s="2" t="s">
        <v>2918</v>
      </c>
      <c r="C102" s="2" t="s">
        <v>2919</v>
      </c>
      <c r="D102" s="2" t="s">
        <v>2920</v>
      </c>
      <c r="E102" s="2" t="s">
        <v>2921</v>
      </c>
      <c r="F102" s="2" t="s">
        <v>2922</v>
      </c>
      <c r="G102" s="2" t="s">
        <v>7</v>
      </c>
      <c r="H102" s="2" t="s">
        <v>695</v>
      </c>
      <c r="I102" s="2" t="s">
        <v>18</v>
      </c>
    </row>
    <row r="103" spans="1:9">
      <c r="A103" s="2" t="s">
        <v>2560</v>
      </c>
      <c r="B103" s="2" t="s">
        <v>2923</v>
      </c>
      <c r="C103" s="2" t="s">
        <v>2924</v>
      </c>
      <c r="D103" s="2" t="s">
        <v>2772</v>
      </c>
      <c r="E103" s="2" t="s">
        <v>2925</v>
      </c>
      <c r="F103" s="2" t="s">
        <v>2926</v>
      </c>
      <c r="G103" s="2" t="s">
        <v>8</v>
      </c>
      <c r="H103" s="2">
        <v>46</v>
      </c>
      <c r="I103" s="2" t="s">
        <v>23</v>
      </c>
    </row>
    <row r="104" spans="1:9">
      <c r="A104" s="2" t="s">
        <v>2560</v>
      </c>
      <c r="B104" s="2" t="s">
        <v>2927</v>
      </c>
      <c r="C104" s="2" t="s">
        <v>2928</v>
      </c>
      <c r="D104" s="2" t="s">
        <v>2929</v>
      </c>
      <c r="E104" s="2" t="s">
        <v>755</v>
      </c>
      <c r="F104" s="2" t="s">
        <v>2930</v>
      </c>
      <c r="G104" s="2" t="s">
        <v>8</v>
      </c>
      <c r="H104" s="2" t="s">
        <v>691</v>
      </c>
      <c r="I104" s="2" t="s">
        <v>23</v>
      </c>
    </row>
    <row r="105" spans="1:9">
      <c r="A105" s="2" t="s">
        <v>2560</v>
      </c>
      <c r="B105" s="2" t="s">
        <v>2931</v>
      </c>
      <c r="C105" s="2" t="s">
        <v>2932</v>
      </c>
      <c r="D105" s="2" t="s">
        <v>2933</v>
      </c>
      <c r="E105" s="2" t="s">
        <v>756</v>
      </c>
      <c r="F105" s="2" t="s">
        <v>2934</v>
      </c>
      <c r="G105" s="2" t="s">
        <v>8</v>
      </c>
      <c r="H105" s="2" t="s">
        <v>698</v>
      </c>
      <c r="I105" s="2" t="s">
        <v>710</v>
      </c>
    </row>
    <row r="106" spans="1:9">
      <c r="A106" s="2" t="s">
        <v>535</v>
      </c>
      <c r="B106" s="2" t="s">
        <v>2935</v>
      </c>
      <c r="C106" s="2" t="s">
        <v>2936</v>
      </c>
      <c r="D106" s="2" t="s">
        <v>2937</v>
      </c>
      <c r="E106" s="2" t="s">
        <v>2938</v>
      </c>
      <c r="F106" s="2" t="s">
        <v>2939</v>
      </c>
      <c r="G106" s="2" t="s">
        <v>8</v>
      </c>
      <c r="H106" s="2">
        <v>46</v>
      </c>
      <c r="I106" s="2" t="s">
        <v>18</v>
      </c>
    </row>
    <row r="107" spans="1:9">
      <c r="A107" s="2" t="s">
        <v>2560</v>
      </c>
      <c r="B107" s="2" t="s">
        <v>1146</v>
      </c>
      <c r="C107" s="2" t="s">
        <v>2940</v>
      </c>
      <c r="D107" s="2" t="s">
        <v>2941</v>
      </c>
      <c r="E107" s="2" t="s">
        <v>757</v>
      </c>
      <c r="F107" s="2" t="s">
        <v>2942</v>
      </c>
      <c r="G107" s="2" t="s">
        <v>8</v>
      </c>
      <c r="H107" s="2" t="s">
        <v>695</v>
      </c>
      <c r="I107" s="2" t="s">
        <v>23</v>
      </c>
    </row>
    <row r="108" spans="1:9">
      <c r="A108" s="2" t="s">
        <v>2560</v>
      </c>
      <c r="B108" s="2" t="s">
        <v>2943</v>
      </c>
      <c r="C108" s="2" t="s">
        <v>2944</v>
      </c>
      <c r="D108" s="2" t="s">
        <v>2945</v>
      </c>
      <c r="E108" s="2" t="s">
        <v>1095</v>
      </c>
      <c r="F108" s="2" t="s">
        <v>2946</v>
      </c>
      <c r="G108" s="2" t="s">
        <v>8</v>
      </c>
      <c r="H108" s="2" t="s">
        <v>691</v>
      </c>
      <c r="I108" s="2" t="s">
        <v>23</v>
      </c>
    </row>
    <row r="109" spans="1:9">
      <c r="A109" s="2" t="s">
        <v>2560</v>
      </c>
      <c r="B109" s="2" t="s">
        <v>2947</v>
      </c>
      <c r="C109" s="2" t="s">
        <v>2948</v>
      </c>
      <c r="D109" s="2" t="s">
        <v>2949</v>
      </c>
      <c r="E109" s="2" t="s">
        <v>2950</v>
      </c>
      <c r="F109" s="2" t="s">
        <v>2951</v>
      </c>
      <c r="G109" s="2" t="s">
        <v>8</v>
      </c>
      <c r="H109" s="2">
        <v>46</v>
      </c>
      <c r="I109" s="2" t="s">
        <v>770</v>
      </c>
    </row>
    <row r="110" spans="1:9">
      <c r="A110" s="2" t="s">
        <v>2560</v>
      </c>
      <c r="B110" s="2" t="s">
        <v>2952</v>
      </c>
      <c r="C110" s="2" t="s">
        <v>2953</v>
      </c>
      <c r="D110" s="2" t="s">
        <v>2954</v>
      </c>
      <c r="E110" s="2" t="s">
        <v>758</v>
      </c>
      <c r="F110" s="2" t="s">
        <v>2955</v>
      </c>
      <c r="G110" s="2" t="s">
        <v>7</v>
      </c>
      <c r="H110" s="2" t="s">
        <v>179</v>
      </c>
      <c r="I110" s="2" t="s">
        <v>23</v>
      </c>
    </row>
    <row r="111" spans="1:9">
      <c r="A111" s="2" t="s">
        <v>2560</v>
      </c>
      <c r="B111" s="2" t="s">
        <v>2956</v>
      </c>
      <c r="C111" s="2" t="s">
        <v>2957</v>
      </c>
      <c r="D111" s="2" t="s">
        <v>2958</v>
      </c>
      <c r="E111" s="2" t="s">
        <v>2959</v>
      </c>
      <c r="F111" s="2" t="s">
        <v>2960</v>
      </c>
      <c r="G111" s="2" t="s">
        <v>8</v>
      </c>
      <c r="H111" s="2">
        <v>46</v>
      </c>
      <c r="I111" s="2" t="s">
        <v>770</v>
      </c>
    </row>
    <row r="112" spans="1:9">
      <c r="A112" s="2" t="s">
        <v>2560</v>
      </c>
      <c r="B112" s="2" t="s">
        <v>2961</v>
      </c>
      <c r="C112" s="2" t="s">
        <v>2669</v>
      </c>
      <c r="D112" s="2" t="s">
        <v>2962</v>
      </c>
      <c r="E112" s="2" t="s">
        <v>759</v>
      </c>
      <c r="F112" s="2" t="s">
        <v>2963</v>
      </c>
      <c r="G112" s="2" t="s">
        <v>7</v>
      </c>
      <c r="H112" s="2" t="s">
        <v>698</v>
      </c>
      <c r="I112" s="2" t="s">
        <v>16</v>
      </c>
    </row>
    <row r="113" spans="1:9">
      <c r="A113" s="2" t="s">
        <v>2560</v>
      </c>
      <c r="B113" s="2" t="s">
        <v>2964</v>
      </c>
      <c r="C113" s="2" t="s">
        <v>2965</v>
      </c>
      <c r="D113" s="2" t="s">
        <v>2966</v>
      </c>
      <c r="E113" s="2" t="s">
        <v>2967</v>
      </c>
      <c r="F113" s="2" t="s">
        <v>2968</v>
      </c>
      <c r="G113" s="2" t="s">
        <v>8</v>
      </c>
      <c r="H113" s="2">
        <v>46</v>
      </c>
      <c r="I113" s="2" t="s">
        <v>729</v>
      </c>
    </row>
    <row r="114" spans="1:9">
      <c r="A114" s="2" t="s">
        <v>2560</v>
      </c>
      <c r="B114" s="2" t="s">
        <v>2969</v>
      </c>
      <c r="C114" s="2" t="s">
        <v>2970</v>
      </c>
      <c r="D114" s="2" t="s">
        <v>2971</v>
      </c>
      <c r="E114" s="2" t="s">
        <v>218</v>
      </c>
      <c r="F114" s="2" t="s">
        <v>2972</v>
      </c>
      <c r="G114" s="2" t="s">
        <v>8</v>
      </c>
      <c r="H114" s="2" t="s">
        <v>691</v>
      </c>
      <c r="I114" s="2" t="s">
        <v>23</v>
      </c>
    </row>
    <row r="115" spans="1:9">
      <c r="A115" s="2" t="s">
        <v>2560</v>
      </c>
      <c r="B115" s="2" t="s">
        <v>1108</v>
      </c>
      <c r="C115" s="2" t="s">
        <v>2973</v>
      </c>
      <c r="D115" s="2" t="s">
        <v>2974</v>
      </c>
      <c r="E115" s="2" t="s">
        <v>2975</v>
      </c>
      <c r="F115" s="2" t="s">
        <v>2976</v>
      </c>
      <c r="G115" s="2" t="s">
        <v>8</v>
      </c>
      <c r="H115" s="2" t="s">
        <v>691</v>
      </c>
      <c r="I115" s="2" t="s">
        <v>23</v>
      </c>
    </row>
    <row r="116" spans="1:9">
      <c r="A116" s="2" t="s">
        <v>2560</v>
      </c>
      <c r="B116" s="2" t="s">
        <v>2977</v>
      </c>
      <c r="C116" s="2" t="s">
        <v>2978</v>
      </c>
      <c r="D116" s="2" t="s">
        <v>2920</v>
      </c>
      <c r="E116" s="2" t="s">
        <v>2979</v>
      </c>
      <c r="F116" s="2" t="s">
        <v>2980</v>
      </c>
      <c r="G116" s="2" t="s">
        <v>8</v>
      </c>
      <c r="H116" s="2" t="s">
        <v>698</v>
      </c>
      <c r="I116" s="2" t="s">
        <v>18</v>
      </c>
    </row>
    <row r="117" spans="1:9">
      <c r="A117" s="2" t="s">
        <v>535</v>
      </c>
      <c r="B117" s="2" t="s">
        <v>2981</v>
      </c>
      <c r="C117" s="2" t="s">
        <v>2982</v>
      </c>
      <c r="D117" s="2" t="s">
        <v>2983</v>
      </c>
      <c r="E117" s="2" t="s">
        <v>2984</v>
      </c>
      <c r="F117" s="2" t="s">
        <v>2985</v>
      </c>
      <c r="G117" s="2" t="s">
        <v>8</v>
      </c>
      <c r="H117" s="2" t="s">
        <v>691</v>
      </c>
      <c r="I117" s="2" t="s">
        <v>23</v>
      </c>
    </row>
    <row r="118" spans="1:9">
      <c r="A118" s="2" t="s">
        <v>2560</v>
      </c>
      <c r="B118" s="2" t="s">
        <v>2986</v>
      </c>
      <c r="C118" s="2" t="s">
        <v>2987</v>
      </c>
      <c r="D118" s="2" t="s">
        <v>2988</v>
      </c>
      <c r="E118" s="2" t="s">
        <v>2989</v>
      </c>
      <c r="F118" s="2" t="s">
        <v>2990</v>
      </c>
      <c r="G118" s="2" t="s">
        <v>8</v>
      </c>
      <c r="H118" s="2">
        <v>46</v>
      </c>
      <c r="I118" s="2" t="s">
        <v>729</v>
      </c>
    </row>
    <row r="119" spans="1:9">
      <c r="A119" s="2" t="s">
        <v>2560</v>
      </c>
      <c r="B119" s="2" t="s">
        <v>2991</v>
      </c>
      <c r="C119" s="2" t="s">
        <v>2992</v>
      </c>
      <c r="D119" s="2" t="s">
        <v>2941</v>
      </c>
      <c r="E119" s="2" t="s">
        <v>200</v>
      </c>
      <c r="F119" s="2" t="s">
        <v>2993</v>
      </c>
      <c r="G119" s="2" t="s">
        <v>7</v>
      </c>
      <c r="H119" s="2" t="s">
        <v>691</v>
      </c>
      <c r="I119" s="2" t="s">
        <v>23</v>
      </c>
    </row>
    <row r="120" spans="1:9">
      <c r="A120" s="2" t="s">
        <v>2560</v>
      </c>
      <c r="B120" s="2" t="s">
        <v>2994</v>
      </c>
      <c r="C120" s="2" t="s">
        <v>2995</v>
      </c>
      <c r="D120" s="2" t="s">
        <v>2996</v>
      </c>
      <c r="E120" s="2" t="s">
        <v>2997</v>
      </c>
      <c r="F120" s="2" t="s">
        <v>2998</v>
      </c>
      <c r="G120" s="2" t="s">
        <v>8</v>
      </c>
      <c r="H120" s="2" t="s">
        <v>695</v>
      </c>
      <c r="I120" s="2" t="s">
        <v>729</v>
      </c>
    </row>
    <row r="121" spans="1:9">
      <c r="A121" s="2" t="s">
        <v>535</v>
      </c>
      <c r="B121" s="2" t="s">
        <v>2999</v>
      </c>
      <c r="C121" s="2" t="s">
        <v>3000</v>
      </c>
      <c r="D121" s="2" t="s">
        <v>3001</v>
      </c>
      <c r="E121" s="2" t="s">
        <v>3002</v>
      </c>
      <c r="F121" s="2" t="s">
        <v>3003</v>
      </c>
      <c r="G121" s="2" t="s">
        <v>7</v>
      </c>
      <c r="H121" s="2" t="s">
        <v>698</v>
      </c>
      <c r="I121" s="2" t="s">
        <v>15</v>
      </c>
    </row>
    <row r="122" spans="1:9">
      <c r="A122" s="2" t="s">
        <v>2560</v>
      </c>
      <c r="B122" s="2" t="s">
        <v>3004</v>
      </c>
      <c r="C122" s="2" t="s">
        <v>3005</v>
      </c>
      <c r="D122" s="2" t="s">
        <v>3006</v>
      </c>
      <c r="E122" s="2" t="s">
        <v>3007</v>
      </c>
      <c r="F122" s="2" t="s">
        <v>3008</v>
      </c>
      <c r="G122" s="2" t="s">
        <v>8</v>
      </c>
      <c r="H122" s="2">
        <v>46</v>
      </c>
      <c r="I122" s="2" t="s">
        <v>23</v>
      </c>
    </row>
    <row r="123" spans="1:9">
      <c r="A123" s="2" t="s">
        <v>2560</v>
      </c>
      <c r="B123" s="2" t="s">
        <v>3009</v>
      </c>
      <c r="C123" s="2" t="s">
        <v>3010</v>
      </c>
      <c r="D123" s="2" t="s">
        <v>3011</v>
      </c>
      <c r="E123" s="2" t="s">
        <v>3012</v>
      </c>
      <c r="F123" s="2" t="s">
        <v>3013</v>
      </c>
      <c r="G123" s="2" t="s">
        <v>7</v>
      </c>
      <c r="H123" s="2" t="s">
        <v>691</v>
      </c>
      <c r="I123" s="2" t="s">
        <v>23</v>
      </c>
    </row>
    <row r="124" spans="1:9">
      <c r="A124" s="2" t="s">
        <v>2560</v>
      </c>
      <c r="B124" s="2" t="s">
        <v>3014</v>
      </c>
      <c r="C124" s="2" t="s">
        <v>2795</v>
      </c>
      <c r="D124" s="2" t="s">
        <v>3015</v>
      </c>
      <c r="E124" s="2" t="s">
        <v>3016</v>
      </c>
      <c r="F124" s="2" t="s">
        <v>3017</v>
      </c>
      <c r="G124" s="2" t="s">
        <v>8</v>
      </c>
      <c r="H124" s="2" t="s">
        <v>695</v>
      </c>
      <c r="I124" s="2" t="s">
        <v>23</v>
      </c>
    </row>
    <row r="125" spans="1:9">
      <c r="A125" s="2" t="s">
        <v>2560</v>
      </c>
      <c r="B125" s="2" t="s">
        <v>1081</v>
      </c>
      <c r="C125" s="2" t="s">
        <v>3018</v>
      </c>
      <c r="D125" s="2" t="s">
        <v>3019</v>
      </c>
      <c r="E125" s="2" t="s">
        <v>3020</v>
      </c>
      <c r="F125" s="2" t="s">
        <v>3021</v>
      </c>
      <c r="G125" s="2" t="s">
        <v>8</v>
      </c>
      <c r="H125" s="2">
        <v>46</v>
      </c>
      <c r="I125" s="2" t="s">
        <v>729</v>
      </c>
    </row>
    <row r="126" spans="1:9">
      <c r="A126" s="2" t="s">
        <v>2560</v>
      </c>
      <c r="B126" s="2" t="s">
        <v>3022</v>
      </c>
      <c r="C126" s="2" t="s">
        <v>2705</v>
      </c>
      <c r="D126" s="2" t="s">
        <v>3023</v>
      </c>
      <c r="E126" s="2" t="s">
        <v>760</v>
      </c>
      <c r="F126" s="2" t="s">
        <v>3024</v>
      </c>
      <c r="G126" s="2" t="s">
        <v>8</v>
      </c>
      <c r="H126" s="2" t="s">
        <v>691</v>
      </c>
      <c r="I126" s="2" t="s">
        <v>23</v>
      </c>
    </row>
    <row r="127" spans="1:9">
      <c r="A127" s="2" t="s">
        <v>2560</v>
      </c>
      <c r="B127" s="2" t="s">
        <v>3025</v>
      </c>
      <c r="C127" s="2" t="s">
        <v>3026</v>
      </c>
      <c r="D127" s="2" t="s">
        <v>3027</v>
      </c>
      <c r="E127" s="2" t="s">
        <v>3028</v>
      </c>
      <c r="F127" s="2" t="s">
        <v>3029</v>
      </c>
      <c r="G127" s="2" t="s">
        <v>8</v>
      </c>
      <c r="H127" s="2" t="s">
        <v>691</v>
      </c>
      <c r="I127" s="2" t="s">
        <v>23</v>
      </c>
    </row>
    <row r="128" spans="1:9">
      <c r="A128" s="2" t="s">
        <v>535</v>
      </c>
      <c r="B128" s="2" t="s">
        <v>3030</v>
      </c>
      <c r="C128" s="2" t="s">
        <v>3031</v>
      </c>
      <c r="D128" s="2" t="s">
        <v>3032</v>
      </c>
      <c r="E128" s="2" t="s">
        <v>3033</v>
      </c>
      <c r="F128" s="2" t="s">
        <v>3034</v>
      </c>
      <c r="G128" s="2" t="s">
        <v>8</v>
      </c>
      <c r="H128" s="2" t="s">
        <v>698</v>
      </c>
      <c r="I128" s="2" t="s">
        <v>23</v>
      </c>
    </row>
    <row r="129" spans="1:9">
      <c r="A129" s="2" t="s">
        <v>2560</v>
      </c>
      <c r="B129" s="2" t="s">
        <v>3035</v>
      </c>
      <c r="C129" s="2" t="s">
        <v>3036</v>
      </c>
      <c r="D129" s="2" t="s">
        <v>3037</v>
      </c>
      <c r="E129" s="2" t="s">
        <v>3038</v>
      </c>
      <c r="F129" s="2" t="s">
        <v>3039</v>
      </c>
      <c r="G129" s="2" t="s">
        <v>7</v>
      </c>
      <c r="H129" s="2" t="s">
        <v>691</v>
      </c>
      <c r="I129" s="2" t="s">
        <v>770</v>
      </c>
    </row>
    <row r="130" spans="1:9">
      <c r="A130" s="2" t="s">
        <v>2560</v>
      </c>
      <c r="B130" s="2" t="s">
        <v>3040</v>
      </c>
      <c r="C130" s="2" t="s">
        <v>2682</v>
      </c>
      <c r="D130" s="2" t="s">
        <v>3041</v>
      </c>
      <c r="E130" s="2" t="s">
        <v>3042</v>
      </c>
      <c r="F130" s="2" t="s">
        <v>3043</v>
      </c>
      <c r="G130" s="2" t="s">
        <v>7</v>
      </c>
      <c r="H130" s="2" t="s">
        <v>691</v>
      </c>
      <c r="I130" s="2" t="s">
        <v>729</v>
      </c>
    </row>
    <row r="131" spans="1:9">
      <c r="A131" s="2" t="s">
        <v>2560</v>
      </c>
      <c r="B131" s="2" t="s">
        <v>3044</v>
      </c>
      <c r="C131" s="2" t="s">
        <v>3045</v>
      </c>
      <c r="D131" s="2" t="s">
        <v>3046</v>
      </c>
      <c r="E131" s="2" t="s">
        <v>3047</v>
      </c>
      <c r="F131" s="2" t="s">
        <v>3048</v>
      </c>
      <c r="G131" s="2" t="s">
        <v>8</v>
      </c>
      <c r="H131" s="2" t="s">
        <v>695</v>
      </c>
      <c r="I131" s="2" t="s">
        <v>16</v>
      </c>
    </row>
    <row r="132" spans="1:9">
      <c r="A132" s="2" t="s">
        <v>2560</v>
      </c>
      <c r="B132" s="2" t="s">
        <v>3049</v>
      </c>
      <c r="C132" s="2" t="s">
        <v>3050</v>
      </c>
      <c r="D132" s="2" t="s">
        <v>3051</v>
      </c>
      <c r="E132" s="2" t="s">
        <v>3052</v>
      </c>
      <c r="F132" s="2" t="s">
        <v>3053</v>
      </c>
      <c r="G132" s="2" t="s">
        <v>8</v>
      </c>
      <c r="H132" s="2" t="s">
        <v>691</v>
      </c>
      <c r="I132" s="2" t="s">
        <v>729</v>
      </c>
    </row>
    <row r="133" spans="1:9">
      <c r="A133" s="2" t="s">
        <v>2560</v>
      </c>
      <c r="B133" s="2" t="s">
        <v>1458</v>
      </c>
      <c r="C133" s="2" t="s">
        <v>3045</v>
      </c>
      <c r="D133" s="2" t="s">
        <v>2825</v>
      </c>
      <c r="E133" s="2" t="s">
        <v>761</v>
      </c>
      <c r="F133" s="2" t="s">
        <v>3054</v>
      </c>
      <c r="G133" s="2" t="s">
        <v>8</v>
      </c>
      <c r="H133" s="2" t="s">
        <v>698</v>
      </c>
      <c r="I133" s="2" t="s">
        <v>712</v>
      </c>
    </row>
    <row r="134" spans="1:9">
      <c r="A134" s="2" t="s">
        <v>2560</v>
      </c>
      <c r="B134" s="2" t="s">
        <v>3055</v>
      </c>
      <c r="C134" s="2" t="s">
        <v>2666</v>
      </c>
      <c r="D134" s="2" t="s">
        <v>3056</v>
      </c>
      <c r="E134" s="2" t="s">
        <v>761</v>
      </c>
      <c r="F134" s="2" t="s">
        <v>3057</v>
      </c>
      <c r="G134" s="2" t="s">
        <v>7</v>
      </c>
      <c r="H134" s="2" t="s">
        <v>691</v>
      </c>
      <c r="I134" s="2" t="s">
        <v>712</v>
      </c>
    </row>
    <row r="135" spans="1:9">
      <c r="A135" s="2" t="s">
        <v>2560</v>
      </c>
      <c r="B135" s="2" t="s">
        <v>2531</v>
      </c>
      <c r="C135" s="2" t="s">
        <v>2553</v>
      </c>
      <c r="D135" s="2" t="s">
        <v>3058</v>
      </c>
      <c r="E135" s="2" t="s">
        <v>762</v>
      </c>
      <c r="F135" s="2" t="s">
        <v>3059</v>
      </c>
      <c r="G135" s="2" t="s">
        <v>8</v>
      </c>
      <c r="H135" s="2" t="s">
        <v>691</v>
      </c>
      <c r="I135" s="2" t="s">
        <v>15</v>
      </c>
    </row>
    <row r="136" spans="1:9">
      <c r="A136" s="2" t="s">
        <v>2560</v>
      </c>
      <c r="B136" s="2" t="s">
        <v>3060</v>
      </c>
      <c r="C136" s="2" t="s">
        <v>3061</v>
      </c>
      <c r="D136" s="2" t="s">
        <v>3062</v>
      </c>
      <c r="E136" s="2" t="s">
        <v>763</v>
      </c>
      <c r="F136" s="2" t="s">
        <v>3063</v>
      </c>
      <c r="G136" s="2" t="s">
        <v>8</v>
      </c>
      <c r="H136" s="2" t="s">
        <v>698</v>
      </c>
      <c r="I136" s="2" t="s">
        <v>16</v>
      </c>
    </row>
    <row r="137" spans="1:9">
      <c r="A137" s="2" t="s">
        <v>2560</v>
      </c>
      <c r="B137" s="2" t="s">
        <v>3064</v>
      </c>
      <c r="C137" s="2" t="s">
        <v>3065</v>
      </c>
      <c r="D137" s="2" t="s">
        <v>3066</v>
      </c>
      <c r="E137" s="2" t="s">
        <v>3067</v>
      </c>
      <c r="F137" s="2" t="s">
        <v>3068</v>
      </c>
      <c r="G137" s="2" t="s">
        <v>8</v>
      </c>
      <c r="H137" s="2">
        <v>46</v>
      </c>
      <c r="I137" s="2" t="s">
        <v>18</v>
      </c>
    </row>
    <row r="138" spans="1:9">
      <c r="A138" s="2" t="s">
        <v>2560</v>
      </c>
      <c r="B138" s="2" t="s">
        <v>3069</v>
      </c>
      <c r="C138" s="2" t="s">
        <v>3070</v>
      </c>
      <c r="D138" s="2" t="s">
        <v>3071</v>
      </c>
      <c r="E138" s="2" t="s">
        <v>764</v>
      </c>
      <c r="F138" s="2" t="s">
        <v>3072</v>
      </c>
      <c r="G138" s="2" t="s">
        <v>8</v>
      </c>
      <c r="H138" s="2" t="s">
        <v>695</v>
      </c>
      <c r="I138" s="2" t="s">
        <v>25</v>
      </c>
    </row>
    <row r="139" spans="1:9">
      <c r="A139" s="2" t="s">
        <v>535</v>
      </c>
      <c r="B139" s="2" t="s">
        <v>3073</v>
      </c>
      <c r="C139" s="2" t="s">
        <v>3074</v>
      </c>
      <c r="D139" s="2" t="s">
        <v>3075</v>
      </c>
      <c r="E139" s="2" t="s">
        <v>3076</v>
      </c>
      <c r="F139" s="2" t="s">
        <v>3077</v>
      </c>
      <c r="G139" s="2" t="s">
        <v>8</v>
      </c>
      <c r="H139" s="2" t="s">
        <v>691</v>
      </c>
      <c r="I139" s="2" t="s">
        <v>23</v>
      </c>
    </row>
    <row r="140" spans="1:9">
      <c r="A140" s="2" t="s">
        <v>2560</v>
      </c>
      <c r="B140" s="2" t="s">
        <v>3078</v>
      </c>
      <c r="C140" s="2" t="s">
        <v>3079</v>
      </c>
      <c r="D140" s="2" t="s">
        <v>3066</v>
      </c>
      <c r="E140" s="2" t="s">
        <v>765</v>
      </c>
      <c r="F140" s="2" t="s">
        <v>3080</v>
      </c>
      <c r="G140" s="2" t="s">
        <v>8</v>
      </c>
      <c r="H140" s="2" t="s">
        <v>179</v>
      </c>
      <c r="I140" s="2" t="s">
        <v>18</v>
      </c>
    </row>
    <row r="141" spans="1:9">
      <c r="A141" s="2" t="s">
        <v>2560</v>
      </c>
      <c r="B141" s="2" t="s">
        <v>3081</v>
      </c>
      <c r="C141" s="2" t="s">
        <v>3082</v>
      </c>
      <c r="D141" s="2" t="s">
        <v>3083</v>
      </c>
      <c r="E141" s="2" t="s">
        <v>766</v>
      </c>
      <c r="F141" s="2" t="s">
        <v>3084</v>
      </c>
      <c r="G141" s="2" t="s">
        <v>8</v>
      </c>
      <c r="H141" s="2" t="s">
        <v>698</v>
      </c>
      <c r="I141" s="2" t="s">
        <v>15</v>
      </c>
    </row>
    <row r="142" spans="1:9">
      <c r="A142" s="2" t="s">
        <v>2560</v>
      </c>
      <c r="B142" s="2" t="s">
        <v>3085</v>
      </c>
      <c r="C142" s="2" t="s">
        <v>3086</v>
      </c>
      <c r="D142" s="2" t="s">
        <v>3087</v>
      </c>
      <c r="E142" s="2" t="s">
        <v>2797</v>
      </c>
      <c r="F142" s="2" t="s">
        <v>3088</v>
      </c>
      <c r="G142" s="2" t="s">
        <v>8</v>
      </c>
      <c r="H142" s="2" t="s">
        <v>698</v>
      </c>
      <c r="I142" s="2" t="s">
        <v>16</v>
      </c>
    </row>
    <row r="143" spans="1:9">
      <c r="A143" s="2" t="s">
        <v>2560</v>
      </c>
      <c r="B143" s="2" t="s">
        <v>3089</v>
      </c>
      <c r="C143" s="2" t="s">
        <v>3090</v>
      </c>
      <c r="D143" s="2" t="s">
        <v>3091</v>
      </c>
      <c r="E143" s="2" t="s">
        <v>3092</v>
      </c>
      <c r="F143" s="2" t="s">
        <v>3093</v>
      </c>
      <c r="G143" s="2" t="s">
        <v>8</v>
      </c>
      <c r="H143" s="2" t="s">
        <v>698</v>
      </c>
      <c r="I143" s="2" t="s">
        <v>16</v>
      </c>
    </row>
    <row r="144" spans="1:9">
      <c r="A144" s="2" t="s">
        <v>2560</v>
      </c>
      <c r="B144" s="2" t="s">
        <v>3094</v>
      </c>
      <c r="C144" s="2" t="s">
        <v>3095</v>
      </c>
      <c r="D144" s="2" t="s">
        <v>3096</v>
      </c>
      <c r="E144" s="2" t="s">
        <v>767</v>
      </c>
      <c r="F144" s="2" t="s">
        <v>3097</v>
      </c>
      <c r="G144" s="2" t="s">
        <v>7</v>
      </c>
      <c r="H144" s="2">
        <v>46</v>
      </c>
      <c r="I144" s="2" t="s">
        <v>15</v>
      </c>
    </row>
    <row r="145" spans="1:9">
      <c r="A145" s="2" t="s">
        <v>2560</v>
      </c>
      <c r="B145" s="2" t="s">
        <v>3098</v>
      </c>
      <c r="C145" s="2" t="s">
        <v>3099</v>
      </c>
      <c r="D145" s="2" t="s">
        <v>3100</v>
      </c>
      <c r="E145" s="2" t="s">
        <v>3101</v>
      </c>
      <c r="F145" s="2" t="s">
        <v>3102</v>
      </c>
      <c r="G145" s="2" t="s">
        <v>8</v>
      </c>
      <c r="H145" s="2" t="s">
        <v>698</v>
      </c>
      <c r="I145" s="2" t="s">
        <v>700</v>
      </c>
    </row>
    <row r="146" spans="1:9">
      <c r="A146" s="2" t="s">
        <v>2560</v>
      </c>
      <c r="B146" s="2" t="s">
        <v>3103</v>
      </c>
      <c r="C146" s="2" t="s">
        <v>3104</v>
      </c>
      <c r="D146" s="2" t="s">
        <v>3105</v>
      </c>
      <c r="E146" s="2" t="s">
        <v>3106</v>
      </c>
      <c r="F146" s="2" t="s">
        <v>3107</v>
      </c>
      <c r="G146" s="2" t="s">
        <v>7</v>
      </c>
      <c r="H146" s="2">
        <v>46</v>
      </c>
      <c r="I146" s="2" t="s">
        <v>23</v>
      </c>
    </row>
    <row r="147" spans="1:9">
      <c r="A147" s="2" t="s">
        <v>2560</v>
      </c>
      <c r="B147" s="2" t="s">
        <v>3108</v>
      </c>
      <c r="C147" s="2" t="s">
        <v>2669</v>
      </c>
      <c r="D147" s="2" t="s">
        <v>3109</v>
      </c>
      <c r="E147" s="2" t="s">
        <v>768</v>
      </c>
      <c r="F147" s="2" t="s">
        <v>3110</v>
      </c>
      <c r="G147" s="2" t="s">
        <v>7</v>
      </c>
      <c r="H147" s="2" t="s">
        <v>695</v>
      </c>
      <c r="I147" s="2" t="s">
        <v>18</v>
      </c>
    </row>
    <row r="148" spans="1:9">
      <c r="A148" s="2" t="s">
        <v>2560</v>
      </c>
      <c r="B148" s="2" t="s">
        <v>3111</v>
      </c>
      <c r="C148" s="2" t="s">
        <v>3112</v>
      </c>
      <c r="D148" s="2" t="s">
        <v>3113</v>
      </c>
      <c r="E148" s="2" t="s">
        <v>3114</v>
      </c>
      <c r="F148" s="2" t="s">
        <v>3115</v>
      </c>
      <c r="G148" s="2" t="s">
        <v>7</v>
      </c>
      <c r="H148" s="2" t="s">
        <v>691</v>
      </c>
      <c r="I148" s="2" t="s">
        <v>15</v>
      </c>
    </row>
    <row r="149" spans="1:9">
      <c r="A149" s="2" t="s">
        <v>2560</v>
      </c>
      <c r="B149" s="2" t="s">
        <v>3116</v>
      </c>
      <c r="C149" s="2" t="s">
        <v>3117</v>
      </c>
      <c r="D149" s="2" t="s">
        <v>3118</v>
      </c>
      <c r="E149" s="2" t="s">
        <v>258</v>
      </c>
      <c r="F149" s="2" t="s">
        <v>3119</v>
      </c>
      <c r="G149" s="2" t="s">
        <v>7</v>
      </c>
      <c r="H149" s="2" t="s">
        <v>695</v>
      </c>
      <c r="I149" s="2" t="s">
        <v>15</v>
      </c>
    </row>
    <row r="150" spans="1:9">
      <c r="A150" s="2" t="s">
        <v>2560</v>
      </c>
      <c r="B150" s="2" t="s">
        <v>2486</v>
      </c>
      <c r="C150" s="2" t="s">
        <v>2615</v>
      </c>
      <c r="D150" s="2" t="s">
        <v>3120</v>
      </c>
      <c r="E150" s="2" t="s">
        <v>769</v>
      </c>
      <c r="F150" s="2" t="s">
        <v>3121</v>
      </c>
      <c r="G150" s="2" t="s">
        <v>7</v>
      </c>
      <c r="H150" s="2" t="s">
        <v>695</v>
      </c>
      <c r="I150" s="2" t="s">
        <v>770</v>
      </c>
    </row>
    <row r="151" spans="1:9">
      <c r="A151" s="2" t="s">
        <v>2560</v>
      </c>
      <c r="B151" s="2" t="s">
        <v>3122</v>
      </c>
      <c r="C151" s="2" t="s">
        <v>3123</v>
      </c>
      <c r="D151" s="2" t="s">
        <v>3124</v>
      </c>
      <c r="E151" s="2" t="s">
        <v>769</v>
      </c>
      <c r="F151" s="2" t="s">
        <v>3125</v>
      </c>
      <c r="G151" s="2" t="s">
        <v>8</v>
      </c>
      <c r="H151" s="2" t="s">
        <v>179</v>
      </c>
      <c r="I151" s="2" t="s">
        <v>15</v>
      </c>
    </row>
    <row r="152" spans="1:9">
      <c r="A152" s="2" t="s">
        <v>2560</v>
      </c>
      <c r="B152" s="2" t="s">
        <v>3126</v>
      </c>
      <c r="C152" s="2" t="s">
        <v>2666</v>
      </c>
      <c r="D152" s="2" t="s">
        <v>3127</v>
      </c>
      <c r="E152" s="2" t="s">
        <v>3128</v>
      </c>
      <c r="F152" s="2" t="s">
        <v>3129</v>
      </c>
      <c r="G152" s="2" t="s">
        <v>7</v>
      </c>
      <c r="H152" s="2" t="s">
        <v>698</v>
      </c>
      <c r="I152" s="2" t="s">
        <v>18</v>
      </c>
    </row>
    <row r="153" spans="1:9">
      <c r="A153" s="2" t="s">
        <v>2560</v>
      </c>
      <c r="B153" s="2" t="s">
        <v>3130</v>
      </c>
      <c r="C153" s="2" t="s">
        <v>3131</v>
      </c>
      <c r="D153" s="2" t="s">
        <v>3132</v>
      </c>
      <c r="E153" s="2" t="s">
        <v>3133</v>
      </c>
      <c r="F153" s="2" t="s">
        <v>3134</v>
      </c>
      <c r="G153" s="2" t="s">
        <v>7</v>
      </c>
      <c r="H153" s="2" t="s">
        <v>695</v>
      </c>
      <c r="I153" s="2" t="s">
        <v>15</v>
      </c>
    </row>
    <row r="154" spans="1:9">
      <c r="A154" s="2" t="s">
        <v>2560</v>
      </c>
      <c r="B154" s="2" t="s">
        <v>3135</v>
      </c>
      <c r="C154" s="2" t="s">
        <v>3136</v>
      </c>
      <c r="D154" s="2" t="s">
        <v>3137</v>
      </c>
      <c r="E154" s="2" t="s">
        <v>262</v>
      </c>
      <c r="F154" s="2" t="s">
        <v>3138</v>
      </c>
      <c r="G154" s="2" t="s">
        <v>7</v>
      </c>
      <c r="H154" s="2">
        <v>46</v>
      </c>
      <c r="I154" s="2" t="s">
        <v>15</v>
      </c>
    </row>
    <row r="155" spans="1:9">
      <c r="A155" s="2" t="s">
        <v>2560</v>
      </c>
      <c r="B155" s="2" t="s">
        <v>3139</v>
      </c>
      <c r="C155" s="2" t="s">
        <v>3140</v>
      </c>
      <c r="D155" s="2" t="s">
        <v>3141</v>
      </c>
      <c r="E155" s="2" t="s">
        <v>280</v>
      </c>
      <c r="F155" s="2" t="s">
        <v>3142</v>
      </c>
      <c r="G155" s="2" t="s">
        <v>7</v>
      </c>
      <c r="H155" s="2" t="s">
        <v>691</v>
      </c>
      <c r="I155" s="2" t="s">
        <v>16</v>
      </c>
    </row>
    <row r="156" spans="1:9">
      <c r="A156" s="2" t="s">
        <v>2560</v>
      </c>
      <c r="B156" s="2" t="s">
        <v>3143</v>
      </c>
      <c r="C156" s="2" t="s">
        <v>3144</v>
      </c>
      <c r="D156" s="2" t="s">
        <v>3145</v>
      </c>
      <c r="E156" s="2" t="s">
        <v>771</v>
      </c>
      <c r="F156" s="2" t="s">
        <v>3146</v>
      </c>
      <c r="G156" s="2" t="s">
        <v>7</v>
      </c>
      <c r="H156" s="2">
        <v>46</v>
      </c>
      <c r="I156" s="2" t="s">
        <v>16</v>
      </c>
    </row>
    <row r="157" spans="1:9">
      <c r="A157" s="2" t="s">
        <v>2560</v>
      </c>
      <c r="B157" s="2" t="s">
        <v>3147</v>
      </c>
      <c r="C157" s="2" t="s">
        <v>3148</v>
      </c>
      <c r="D157" s="2" t="s">
        <v>3149</v>
      </c>
      <c r="E157" s="2" t="s">
        <v>265</v>
      </c>
      <c r="F157" s="2" t="s">
        <v>3150</v>
      </c>
      <c r="G157" s="2" t="s">
        <v>7</v>
      </c>
      <c r="H157" s="2" t="s">
        <v>695</v>
      </c>
      <c r="I157" s="2" t="s">
        <v>15</v>
      </c>
    </row>
    <row r="158" spans="1:9">
      <c r="A158" s="2" t="s">
        <v>2560</v>
      </c>
      <c r="B158" s="2" t="s">
        <v>3151</v>
      </c>
      <c r="C158" s="2" t="s">
        <v>3152</v>
      </c>
      <c r="D158" s="2" t="s">
        <v>3153</v>
      </c>
      <c r="E158" s="2" t="s">
        <v>256</v>
      </c>
      <c r="F158" s="2" t="s">
        <v>3154</v>
      </c>
      <c r="G158" s="2" t="s">
        <v>7</v>
      </c>
      <c r="H158" s="2" t="s">
        <v>691</v>
      </c>
      <c r="I158" s="2" t="s">
        <v>15</v>
      </c>
    </row>
    <row r="159" spans="1:9">
      <c r="A159" s="2" t="s">
        <v>2560</v>
      </c>
      <c r="B159" s="2" t="s">
        <v>3155</v>
      </c>
      <c r="C159" s="2" t="s">
        <v>3156</v>
      </c>
      <c r="D159" s="2" t="s">
        <v>3157</v>
      </c>
      <c r="E159" s="2" t="s">
        <v>3158</v>
      </c>
      <c r="F159" s="2" t="s">
        <v>3159</v>
      </c>
      <c r="G159" s="2" t="s">
        <v>7</v>
      </c>
      <c r="H159" s="2" t="s">
        <v>698</v>
      </c>
      <c r="I159" s="2" t="s">
        <v>770</v>
      </c>
    </row>
    <row r="160" spans="1:9">
      <c r="A160" s="2" t="s">
        <v>535</v>
      </c>
      <c r="B160" s="2" t="s">
        <v>3160</v>
      </c>
      <c r="C160" s="2" t="s">
        <v>3161</v>
      </c>
      <c r="D160" s="2" t="s">
        <v>3162</v>
      </c>
      <c r="E160" s="2" t="s">
        <v>3163</v>
      </c>
      <c r="F160" s="2" t="s">
        <v>3164</v>
      </c>
      <c r="G160" s="2" t="s">
        <v>8</v>
      </c>
      <c r="H160" s="2" t="s">
        <v>691</v>
      </c>
      <c r="I160" s="2" t="s">
        <v>23</v>
      </c>
    </row>
    <row r="161" spans="1:9">
      <c r="A161" s="2" t="s">
        <v>2560</v>
      </c>
      <c r="B161" s="2" t="s">
        <v>3165</v>
      </c>
      <c r="C161" s="2" t="s">
        <v>3166</v>
      </c>
      <c r="D161" s="2" t="s">
        <v>2669</v>
      </c>
      <c r="E161" s="2" t="s">
        <v>1049</v>
      </c>
      <c r="F161" s="2" t="s">
        <v>3167</v>
      </c>
      <c r="G161" s="2" t="s">
        <v>8</v>
      </c>
      <c r="H161" s="2" t="s">
        <v>691</v>
      </c>
      <c r="I161" s="2" t="s">
        <v>16</v>
      </c>
    </row>
    <row r="162" spans="1:9">
      <c r="A162" s="2" t="s">
        <v>2560</v>
      </c>
      <c r="B162" s="2" t="s">
        <v>3168</v>
      </c>
      <c r="C162" s="2" t="s">
        <v>2669</v>
      </c>
      <c r="D162" s="2" t="s">
        <v>3169</v>
      </c>
      <c r="E162" s="2" t="s">
        <v>284</v>
      </c>
      <c r="F162" s="2" t="s">
        <v>3170</v>
      </c>
      <c r="G162" s="2" t="s">
        <v>7</v>
      </c>
      <c r="H162" s="2" t="s">
        <v>691</v>
      </c>
      <c r="I162" s="2" t="s">
        <v>729</v>
      </c>
    </row>
    <row r="163" spans="1:9">
      <c r="A163" s="2" t="s">
        <v>2560</v>
      </c>
      <c r="B163" s="2" t="s">
        <v>3171</v>
      </c>
      <c r="C163" s="2" t="s">
        <v>2669</v>
      </c>
      <c r="D163" s="2" t="s">
        <v>2690</v>
      </c>
      <c r="E163" s="2" t="s">
        <v>3172</v>
      </c>
      <c r="F163" s="2" t="s">
        <v>3173</v>
      </c>
      <c r="G163" s="2" t="s">
        <v>7</v>
      </c>
      <c r="H163" s="2" t="s">
        <v>691</v>
      </c>
      <c r="I163" s="2" t="s">
        <v>15</v>
      </c>
    </row>
    <row r="164" spans="1:9">
      <c r="A164" s="2" t="s">
        <v>2560</v>
      </c>
      <c r="B164" s="2" t="s">
        <v>3174</v>
      </c>
      <c r="C164" s="2" t="s">
        <v>3175</v>
      </c>
      <c r="D164" s="2" t="s">
        <v>3176</v>
      </c>
      <c r="E164" s="2" t="s">
        <v>3177</v>
      </c>
      <c r="F164" s="2" t="s">
        <v>3178</v>
      </c>
      <c r="G164" s="2" t="s">
        <v>8</v>
      </c>
      <c r="H164" s="2" t="s">
        <v>691</v>
      </c>
      <c r="I164" s="2" t="s">
        <v>23</v>
      </c>
    </row>
    <row r="165" spans="1:9">
      <c r="A165" s="2" t="s">
        <v>2560</v>
      </c>
      <c r="B165" s="2" t="s">
        <v>3179</v>
      </c>
      <c r="C165" s="2" t="s">
        <v>3180</v>
      </c>
      <c r="D165" s="2" t="s">
        <v>3181</v>
      </c>
      <c r="E165" s="2" t="s">
        <v>3182</v>
      </c>
      <c r="F165" s="2" t="s">
        <v>3183</v>
      </c>
      <c r="G165" s="2" t="s">
        <v>7</v>
      </c>
      <c r="H165" s="2" t="s">
        <v>695</v>
      </c>
      <c r="I165" s="2" t="s">
        <v>18</v>
      </c>
    </row>
    <row r="166" spans="1:9">
      <c r="A166" s="2" t="s">
        <v>2560</v>
      </c>
      <c r="B166" s="2" t="s">
        <v>3184</v>
      </c>
      <c r="C166" s="2" t="s">
        <v>3185</v>
      </c>
      <c r="D166" s="2" t="s">
        <v>3186</v>
      </c>
      <c r="E166" s="2" t="s">
        <v>3187</v>
      </c>
      <c r="F166" s="2" t="s">
        <v>3188</v>
      </c>
      <c r="G166" s="2" t="s">
        <v>8</v>
      </c>
      <c r="H166" s="2" t="s">
        <v>691</v>
      </c>
      <c r="I166" s="2" t="s">
        <v>18</v>
      </c>
    </row>
    <row r="167" spans="1:9">
      <c r="A167" s="2" t="s">
        <v>2560</v>
      </c>
      <c r="B167" s="2" t="s">
        <v>3189</v>
      </c>
      <c r="C167" s="2" t="s">
        <v>3190</v>
      </c>
      <c r="D167" s="2" t="s">
        <v>3191</v>
      </c>
      <c r="E167" s="2" t="s">
        <v>3192</v>
      </c>
      <c r="F167" s="2" t="s">
        <v>3193</v>
      </c>
      <c r="G167" s="2" t="s">
        <v>7</v>
      </c>
      <c r="H167" s="2" t="s">
        <v>691</v>
      </c>
      <c r="I167" s="2" t="s">
        <v>15</v>
      </c>
    </row>
    <row r="168" spans="1:9">
      <c r="A168" s="2" t="s">
        <v>2560</v>
      </c>
      <c r="B168" s="2" t="s">
        <v>3194</v>
      </c>
      <c r="C168" s="2" t="s">
        <v>3195</v>
      </c>
      <c r="D168" s="2" t="s">
        <v>3196</v>
      </c>
      <c r="E168" s="2" t="s">
        <v>3197</v>
      </c>
      <c r="F168" s="2" t="s">
        <v>3198</v>
      </c>
      <c r="G168" s="2" t="s">
        <v>8</v>
      </c>
      <c r="H168" s="2" t="s">
        <v>695</v>
      </c>
      <c r="I168" s="2" t="s">
        <v>16</v>
      </c>
    </row>
    <row r="169" spans="1:9">
      <c r="A169" s="2" t="s">
        <v>2560</v>
      </c>
      <c r="B169" s="2" t="s">
        <v>3199</v>
      </c>
      <c r="C169" s="2" t="s">
        <v>3031</v>
      </c>
      <c r="D169" s="2" t="s">
        <v>3200</v>
      </c>
      <c r="E169" s="2" t="s">
        <v>3201</v>
      </c>
      <c r="F169" s="2" t="s">
        <v>3202</v>
      </c>
      <c r="G169" s="2" t="s">
        <v>8</v>
      </c>
      <c r="H169" s="2" t="s">
        <v>691</v>
      </c>
      <c r="I169" s="2" t="s">
        <v>700</v>
      </c>
    </row>
    <row r="170" spans="1:9">
      <c r="A170" s="2" t="s">
        <v>2560</v>
      </c>
      <c r="B170" s="2" t="s">
        <v>3203</v>
      </c>
      <c r="C170" s="2" t="s">
        <v>3204</v>
      </c>
      <c r="D170" s="2" t="s">
        <v>3205</v>
      </c>
      <c r="E170" s="2" t="s">
        <v>3206</v>
      </c>
      <c r="F170" s="2" t="s">
        <v>3207</v>
      </c>
      <c r="G170" s="2" t="s">
        <v>8</v>
      </c>
      <c r="H170" s="2" t="s">
        <v>695</v>
      </c>
      <c r="I170" s="2" t="s">
        <v>16</v>
      </c>
    </row>
    <row r="171" spans="1:9">
      <c r="A171" s="2" t="s">
        <v>2560</v>
      </c>
      <c r="B171" s="2" t="s">
        <v>3208</v>
      </c>
      <c r="C171" s="2" t="s">
        <v>3209</v>
      </c>
      <c r="D171" s="2" t="s">
        <v>3210</v>
      </c>
      <c r="E171" s="2" t="s">
        <v>3211</v>
      </c>
      <c r="F171" s="2" t="s">
        <v>3212</v>
      </c>
      <c r="G171" s="2" t="s">
        <v>7</v>
      </c>
      <c r="H171" s="2">
        <v>46</v>
      </c>
      <c r="I171" s="2" t="s">
        <v>770</v>
      </c>
    </row>
    <row r="172" spans="1:9">
      <c r="A172" s="2" t="s">
        <v>2560</v>
      </c>
      <c r="B172" s="2" t="s">
        <v>3213</v>
      </c>
      <c r="C172" s="2" t="s">
        <v>3214</v>
      </c>
      <c r="D172" s="2" t="s">
        <v>2651</v>
      </c>
      <c r="E172" s="2" t="s">
        <v>3215</v>
      </c>
      <c r="F172" s="2" t="s">
        <v>3216</v>
      </c>
      <c r="G172" s="2" t="s">
        <v>8</v>
      </c>
      <c r="H172" s="2" t="s">
        <v>691</v>
      </c>
      <c r="I172" s="2" t="s">
        <v>700</v>
      </c>
    </row>
    <row r="173" spans="1:9">
      <c r="A173" s="2" t="s">
        <v>2560</v>
      </c>
      <c r="B173" s="2" t="s">
        <v>3217</v>
      </c>
      <c r="C173" s="2" t="s">
        <v>3218</v>
      </c>
      <c r="D173" s="2" t="s">
        <v>3219</v>
      </c>
      <c r="E173" s="18" t="s">
        <v>772</v>
      </c>
      <c r="F173" s="2" t="s">
        <v>3220</v>
      </c>
      <c r="G173" s="2" t="s">
        <v>8</v>
      </c>
      <c r="H173" s="2" t="s">
        <v>179</v>
      </c>
      <c r="I173" s="2" t="s">
        <v>15</v>
      </c>
    </row>
    <row r="174" spans="1:9">
      <c r="A174" s="2" t="s">
        <v>2560</v>
      </c>
      <c r="B174" s="2" t="s">
        <v>3221</v>
      </c>
      <c r="C174" s="2" t="s">
        <v>3222</v>
      </c>
      <c r="D174" s="2" t="s">
        <v>3223</v>
      </c>
      <c r="E174" s="2" t="s">
        <v>3224</v>
      </c>
      <c r="F174" s="2" t="s">
        <v>3225</v>
      </c>
      <c r="G174" s="2" t="s">
        <v>7</v>
      </c>
      <c r="H174" s="2" t="s">
        <v>691</v>
      </c>
      <c r="I174" s="2" t="s">
        <v>15</v>
      </c>
    </row>
    <row r="175" spans="1:9">
      <c r="A175" s="2" t="s">
        <v>2560</v>
      </c>
      <c r="B175" s="2" t="s">
        <v>3226</v>
      </c>
      <c r="C175" s="2" t="s">
        <v>3227</v>
      </c>
      <c r="D175" s="2" t="s">
        <v>3228</v>
      </c>
      <c r="E175" s="2" t="s">
        <v>3229</v>
      </c>
      <c r="F175" s="2" t="s">
        <v>3230</v>
      </c>
      <c r="G175" s="2" t="s">
        <v>7</v>
      </c>
      <c r="H175" s="2" t="s">
        <v>695</v>
      </c>
      <c r="I175" s="2" t="s">
        <v>16</v>
      </c>
    </row>
    <row r="176" spans="1:9">
      <c r="A176" s="2" t="s">
        <v>2560</v>
      </c>
      <c r="B176" s="2" t="s">
        <v>3231</v>
      </c>
      <c r="C176" s="2" t="s">
        <v>3232</v>
      </c>
      <c r="D176" s="2" t="s">
        <v>3233</v>
      </c>
      <c r="E176" s="2" t="s">
        <v>3234</v>
      </c>
      <c r="F176" s="2" t="s">
        <v>3235</v>
      </c>
      <c r="G176" s="2" t="s">
        <v>8</v>
      </c>
      <c r="H176" s="2">
        <v>46</v>
      </c>
      <c r="I176" s="2" t="s">
        <v>729</v>
      </c>
    </row>
    <row r="177" spans="1:9">
      <c r="A177" s="2" t="s">
        <v>2560</v>
      </c>
      <c r="B177" s="2" t="s">
        <v>3236</v>
      </c>
      <c r="C177" s="2" t="s">
        <v>3237</v>
      </c>
      <c r="D177" s="2" t="s">
        <v>3238</v>
      </c>
      <c r="E177" s="2" t="s">
        <v>3239</v>
      </c>
      <c r="F177" s="2" t="s">
        <v>3240</v>
      </c>
      <c r="G177" s="2" t="s">
        <v>8</v>
      </c>
      <c r="H177" s="2" t="s">
        <v>695</v>
      </c>
      <c r="I177" s="2" t="s">
        <v>700</v>
      </c>
    </row>
    <row r="178" spans="1:9">
      <c r="A178" s="2" t="s">
        <v>2560</v>
      </c>
      <c r="B178" s="2" t="s">
        <v>3241</v>
      </c>
      <c r="C178" s="2" t="s">
        <v>3242</v>
      </c>
      <c r="D178" s="2" t="s">
        <v>3243</v>
      </c>
      <c r="E178" s="2" t="s">
        <v>773</v>
      </c>
      <c r="F178" s="2" t="s">
        <v>3244</v>
      </c>
      <c r="G178" s="2" t="s">
        <v>7</v>
      </c>
      <c r="H178" s="2" t="s">
        <v>691</v>
      </c>
      <c r="I178" s="2" t="s">
        <v>22</v>
      </c>
    </row>
    <row r="179" spans="1:9">
      <c r="A179" s="2" t="s">
        <v>2560</v>
      </c>
      <c r="B179" s="2" t="s">
        <v>3245</v>
      </c>
      <c r="C179" s="2" t="s">
        <v>3246</v>
      </c>
      <c r="D179" s="2" t="s">
        <v>3247</v>
      </c>
      <c r="E179" s="2" t="s">
        <v>3248</v>
      </c>
      <c r="F179" s="2" t="s">
        <v>3249</v>
      </c>
      <c r="G179" s="2" t="s">
        <v>8</v>
      </c>
      <c r="H179" s="2" t="s">
        <v>695</v>
      </c>
      <c r="I179" s="2" t="s">
        <v>23</v>
      </c>
    </row>
    <row r="180" spans="1:9">
      <c r="A180" s="2" t="s">
        <v>535</v>
      </c>
      <c r="B180" s="2" t="s">
        <v>3250</v>
      </c>
      <c r="C180" s="2" t="s">
        <v>3251</v>
      </c>
      <c r="D180" s="2" t="s">
        <v>3252</v>
      </c>
      <c r="E180" s="2" t="s">
        <v>3253</v>
      </c>
      <c r="F180" s="2" t="s">
        <v>3254</v>
      </c>
      <c r="G180" s="2" t="s">
        <v>8</v>
      </c>
      <c r="H180" s="2" t="s">
        <v>698</v>
      </c>
      <c r="I180" s="2" t="s">
        <v>729</v>
      </c>
    </row>
    <row r="181" spans="1:9">
      <c r="A181" s="2" t="s">
        <v>2560</v>
      </c>
      <c r="B181" s="2" t="s">
        <v>3255</v>
      </c>
      <c r="C181" s="2" t="s">
        <v>3256</v>
      </c>
      <c r="D181" s="2" t="s">
        <v>3257</v>
      </c>
      <c r="E181" s="2" t="s">
        <v>3258</v>
      </c>
      <c r="F181" s="2" t="s">
        <v>3259</v>
      </c>
      <c r="G181" s="2" t="s">
        <v>8</v>
      </c>
      <c r="H181" s="2" t="s">
        <v>691</v>
      </c>
      <c r="I181" s="2" t="s">
        <v>770</v>
      </c>
    </row>
    <row r="182" spans="1:9">
      <c r="A182" s="2" t="s">
        <v>2560</v>
      </c>
      <c r="B182" s="2" t="s">
        <v>3260</v>
      </c>
      <c r="C182" s="2" t="s">
        <v>3261</v>
      </c>
      <c r="D182" s="2" t="s">
        <v>3262</v>
      </c>
      <c r="E182" s="2" t="s">
        <v>3263</v>
      </c>
      <c r="F182" s="2" t="s">
        <v>3264</v>
      </c>
      <c r="G182" s="2" t="s">
        <v>7</v>
      </c>
      <c r="H182" s="2" t="s">
        <v>698</v>
      </c>
      <c r="I182" s="2" t="s">
        <v>23</v>
      </c>
    </row>
    <row r="183" spans="1:9">
      <c r="A183" s="2" t="s">
        <v>2560</v>
      </c>
      <c r="B183" s="2" t="s">
        <v>3265</v>
      </c>
      <c r="C183" s="2" t="s">
        <v>3266</v>
      </c>
      <c r="D183" s="2" t="s">
        <v>3267</v>
      </c>
      <c r="E183" s="2" t="s">
        <v>3268</v>
      </c>
      <c r="F183" s="2" t="s">
        <v>3269</v>
      </c>
      <c r="G183" s="2" t="s">
        <v>8</v>
      </c>
      <c r="H183" s="2" t="s">
        <v>695</v>
      </c>
      <c r="I183" s="2" t="s">
        <v>700</v>
      </c>
    </row>
    <row r="184" spans="1:9">
      <c r="A184" s="2" t="s">
        <v>2560</v>
      </c>
      <c r="B184" s="2" t="s">
        <v>3270</v>
      </c>
      <c r="C184" s="2" t="s">
        <v>3271</v>
      </c>
      <c r="D184" s="2" t="s">
        <v>3272</v>
      </c>
      <c r="E184" s="2" t="s">
        <v>3273</v>
      </c>
      <c r="F184" s="2" t="s">
        <v>3274</v>
      </c>
      <c r="G184" s="2" t="s">
        <v>8</v>
      </c>
      <c r="H184" s="2" t="s">
        <v>695</v>
      </c>
      <c r="I184" s="2" t="s">
        <v>16</v>
      </c>
    </row>
    <row r="185" spans="1:9">
      <c r="A185" s="2" t="s">
        <v>2560</v>
      </c>
      <c r="B185" s="2" t="s">
        <v>1788</v>
      </c>
      <c r="C185" s="2" t="s">
        <v>3275</v>
      </c>
      <c r="D185" s="2" t="s">
        <v>3276</v>
      </c>
      <c r="E185" s="2" t="s">
        <v>774</v>
      </c>
      <c r="F185" s="2" t="s">
        <v>3277</v>
      </c>
      <c r="G185" s="2" t="s">
        <v>7</v>
      </c>
      <c r="H185" s="2" t="s">
        <v>179</v>
      </c>
      <c r="I185" s="2" t="s">
        <v>25</v>
      </c>
    </row>
    <row r="186" spans="1:9">
      <c r="A186" s="2" t="s">
        <v>2560</v>
      </c>
      <c r="B186" s="2" t="s">
        <v>1192</v>
      </c>
      <c r="C186" s="2" t="s">
        <v>3278</v>
      </c>
      <c r="D186" s="2" t="s">
        <v>3279</v>
      </c>
      <c r="E186" s="2" t="s">
        <v>775</v>
      </c>
      <c r="F186" s="2" t="s">
        <v>3280</v>
      </c>
      <c r="G186" s="2" t="s">
        <v>8</v>
      </c>
      <c r="H186" s="2" t="s">
        <v>695</v>
      </c>
      <c r="I186" s="2" t="s">
        <v>700</v>
      </c>
    </row>
    <row r="187" spans="1:9">
      <c r="A187" s="2" t="s">
        <v>2560</v>
      </c>
      <c r="B187" s="2" t="s">
        <v>1453</v>
      </c>
      <c r="C187" s="2" t="s">
        <v>2662</v>
      </c>
      <c r="D187" s="2" t="s">
        <v>3281</v>
      </c>
      <c r="E187" s="2" t="s">
        <v>776</v>
      </c>
      <c r="F187" s="2" t="s">
        <v>3282</v>
      </c>
      <c r="G187" s="2" t="s">
        <v>7</v>
      </c>
      <c r="H187" s="2" t="s">
        <v>179</v>
      </c>
      <c r="I187" s="2" t="s">
        <v>710</v>
      </c>
    </row>
    <row r="188" spans="1:9">
      <c r="A188" s="2" t="s">
        <v>2560</v>
      </c>
      <c r="B188" s="2" t="s">
        <v>3283</v>
      </c>
      <c r="C188" s="2" t="s">
        <v>2599</v>
      </c>
      <c r="D188" s="2" t="s">
        <v>3284</v>
      </c>
      <c r="E188" s="2" t="s">
        <v>777</v>
      </c>
      <c r="F188" s="2" t="s">
        <v>3285</v>
      </c>
      <c r="G188" s="2" t="s">
        <v>8</v>
      </c>
      <c r="H188" s="2" t="s">
        <v>691</v>
      </c>
      <c r="I188" s="2" t="s">
        <v>700</v>
      </c>
    </row>
    <row r="189" spans="1:9">
      <c r="A189" s="2" t="s">
        <v>2560</v>
      </c>
      <c r="B189" s="2" t="s">
        <v>3286</v>
      </c>
      <c r="C189" s="2" t="s">
        <v>3275</v>
      </c>
      <c r="D189" s="2" t="s">
        <v>3287</v>
      </c>
      <c r="E189" s="2" t="s">
        <v>3288</v>
      </c>
      <c r="F189" s="2" t="s">
        <v>3289</v>
      </c>
      <c r="G189" s="2" t="s">
        <v>7</v>
      </c>
      <c r="H189" s="2" t="s">
        <v>698</v>
      </c>
      <c r="I189" s="2" t="s">
        <v>729</v>
      </c>
    </row>
    <row r="190" spans="1:9">
      <c r="A190" s="2" t="s">
        <v>2560</v>
      </c>
      <c r="B190" s="2" t="s">
        <v>1227</v>
      </c>
      <c r="C190" s="2" t="s">
        <v>3290</v>
      </c>
      <c r="D190" s="2" t="s">
        <v>3291</v>
      </c>
      <c r="E190" s="2" t="s">
        <v>778</v>
      </c>
      <c r="F190" s="2" t="s">
        <v>3292</v>
      </c>
      <c r="G190" s="2" t="s">
        <v>8</v>
      </c>
      <c r="H190" s="2">
        <v>46</v>
      </c>
      <c r="I190" s="2" t="s">
        <v>700</v>
      </c>
    </row>
    <row r="191" spans="1:9">
      <c r="A191" s="2" t="s">
        <v>2560</v>
      </c>
      <c r="B191" s="2" t="s">
        <v>1211</v>
      </c>
      <c r="C191" s="2" t="s">
        <v>3293</v>
      </c>
      <c r="D191" s="2" t="s">
        <v>3294</v>
      </c>
      <c r="E191" s="2" t="s">
        <v>779</v>
      </c>
      <c r="F191" s="2" t="s">
        <v>3295</v>
      </c>
      <c r="G191" s="2" t="s">
        <v>8</v>
      </c>
      <c r="H191" s="2" t="s">
        <v>698</v>
      </c>
      <c r="I191" s="2" t="s">
        <v>712</v>
      </c>
    </row>
    <row r="192" spans="1:9">
      <c r="A192" s="2" t="s">
        <v>2560</v>
      </c>
      <c r="B192" s="2" t="s">
        <v>2513</v>
      </c>
      <c r="C192" s="2" t="s">
        <v>3296</v>
      </c>
      <c r="D192" s="2" t="s">
        <v>3297</v>
      </c>
      <c r="E192" s="2" t="s">
        <v>780</v>
      </c>
      <c r="F192" s="2" t="s">
        <v>3298</v>
      </c>
      <c r="G192" s="2" t="s">
        <v>8</v>
      </c>
      <c r="H192" s="2" t="s">
        <v>179</v>
      </c>
      <c r="I192" s="2" t="s">
        <v>18</v>
      </c>
    </row>
    <row r="193" spans="1:9">
      <c r="A193" s="2" t="s">
        <v>2560</v>
      </c>
      <c r="B193" s="2" t="s">
        <v>3299</v>
      </c>
      <c r="C193" s="2" t="s">
        <v>3300</v>
      </c>
      <c r="D193" s="2" t="s">
        <v>3301</v>
      </c>
      <c r="E193" s="2" t="s">
        <v>3302</v>
      </c>
      <c r="F193" s="2" t="s">
        <v>3303</v>
      </c>
      <c r="G193" s="2" t="s">
        <v>8</v>
      </c>
      <c r="H193" s="2">
        <v>46</v>
      </c>
      <c r="I193" s="2" t="s">
        <v>700</v>
      </c>
    </row>
    <row r="194" spans="1:9">
      <c r="A194" s="2" t="s">
        <v>2560</v>
      </c>
      <c r="B194" s="2" t="s">
        <v>1254</v>
      </c>
      <c r="C194" s="2" t="s">
        <v>3304</v>
      </c>
      <c r="D194" s="2" t="s">
        <v>3305</v>
      </c>
      <c r="E194" s="2" t="s">
        <v>781</v>
      </c>
      <c r="F194" s="2" t="s">
        <v>3306</v>
      </c>
      <c r="G194" s="2" t="s">
        <v>8</v>
      </c>
      <c r="H194" s="2">
        <v>46</v>
      </c>
      <c r="I194" s="2" t="s">
        <v>712</v>
      </c>
    </row>
    <row r="195" spans="1:9">
      <c r="A195" s="2" t="s">
        <v>2560</v>
      </c>
      <c r="B195" s="2" t="s">
        <v>1221</v>
      </c>
      <c r="C195" s="2" t="s">
        <v>3307</v>
      </c>
      <c r="D195" s="2" t="s">
        <v>3308</v>
      </c>
      <c r="E195" s="2" t="s">
        <v>782</v>
      </c>
      <c r="F195" s="2" t="s">
        <v>3309</v>
      </c>
      <c r="G195" s="2" t="s">
        <v>8</v>
      </c>
      <c r="H195" s="2">
        <v>46</v>
      </c>
      <c r="I195" s="2" t="s">
        <v>700</v>
      </c>
    </row>
    <row r="196" spans="1:9">
      <c r="A196" s="2" t="s">
        <v>2560</v>
      </c>
      <c r="B196" s="2" t="s">
        <v>1282</v>
      </c>
      <c r="C196" s="2" t="s">
        <v>2705</v>
      </c>
      <c r="D196" s="2" t="s">
        <v>3310</v>
      </c>
      <c r="E196" s="2" t="s">
        <v>783</v>
      </c>
      <c r="F196" s="2" t="s">
        <v>3311</v>
      </c>
      <c r="G196" s="2" t="s">
        <v>8</v>
      </c>
      <c r="H196" s="2" t="s">
        <v>698</v>
      </c>
      <c r="I196" s="2" t="s">
        <v>712</v>
      </c>
    </row>
    <row r="197" spans="1:9">
      <c r="A197" s="2" t="s">
        <v>2560</v>
      </c>
      <c r="B197" s="2" t="s">
        <v>1321</v>
      </c>
      <c r="C197" s="2" t="s">
        <v>3312</v>
      </c>
      <c r="D197" s="2" t="s">
        <v>3313</v>
      </c>
      <c r="E197" s="2" t="s">
        <v>784</v>
      </c>
      <c r="F197" s="2" t="s">
        <v>3314</v>
      </c>
      <c r="G197" s="2" t="s">
        <v>8</v>
      </c>
      <c r="H197" s="2" t="s">
        <v>698</v>
      </c>
      <c r="I197" s="2" t="s">
        <v>700</v>
      </c>
    </row>
    <row r="198" spans="1:9">
      <c r="A198" s="2" t="s">
        <v>535</v>
      </c>
      <c r="B198" s="2" t="s">
        <v>3315</v>
      </c>
      <c r="C198" s="2" t="s">
        <v>3316</v>
      </c>
      <c r="D198" s="2" t="s">
        <v>3317</v>
      </c>
      <c r="E198" s="2" t="s">
        <v>3318</v>
      </c>
      <c r="F198" s="2" t="s">
        <v>3319</v>
      </c>
      <c r="G198" s="2" t="s">
        <v>8</v>
      </c>
      <c r="H198" s="2">
        <v>46</v>
      </c>
      <c r="I198" s="2" t="s">
        <v>712</v>
      </c>
    </row>
    <row r="199" spans="1:9">
      <c r="A199" s="2" t="s">
        <v>2560</v>
      </c>
      <c r="B199" s="2" t="s">
        <v>3320</v>
      </c>
      <c r="C199" s="2" t="s">
        <v>3321</v>
      </c>
      <c r="D199" s="2" t="s">
        <v>3322</v>
      </c>
      <c r="E199" s="2" t="s">
        <v>785</v>
      </c>
      <c r="F199" s="2" t="s">
        <v>3323</v>
      </c>
      <c r="G199" s="2" t="s">
        <v>7</v>
      </c>
      <c r="H199" s="2" t="s">
        <v>695</v>
      </c>
      <c r="I199" s="2" t="s">
        <v>15</v>
      </c>
    </row>
    <row r="200" spans="1:9">
      <c r="A200" s="2" t="s">
        <v>2560</v>
      </c>
      <c r="B200" s="2" t="s">
        <v>3324</v>
      </c>
      <c r="C200" s="2" t="s">
        <v>3325</v>
      </c>
      <c r="D200" s="2" t="s">
        <v>3326</v>
      </c>
      <c r="E200" s="2" t="s">
        <v>3327</v>
      </c>
      <c r="F200" s="2" t="s">
        <v>3328</v>
      </c>
      <c r="G200" s="2" t="s">
        <v>7</v>
      </c>
      <c r="H200" s="2" t="s">
        <v>691</v>
      </c>
      <c r="I200" s="2" t="s">
        <v>16</v>
      </c>
    </row>
    <row r="201" spans="1:9">
      <c r="A201" s="2" t="s">
        <v>2560</v>
      </c>
      <c r="B201" s="2" t="s">
        <v>3329</v>
      </c>
      <c r="C201" s="2" t="s">
        <v>2669</v>
      </c>
      <c r="D201" s="2" t="s">
        <v>3330</v>
      </c>
      <c r="E201" s="2" t="s">
        <v>3331</v>
      </c>
      <c r="F201" s="2" t="s">
        <v>3332</v>
      </c>
      <c r="G201" s="2" t="s">
        <v>7</v>
      </c>
      <c r="H201" s="2" t="s">
        <v>695</v>
      </c>
      <c r="I201" s="2" t="s">
        <v>16</v>
      </c>
    </row>
    <row r="202" spans="1:9">
      <c r="A202" s="2" t="s">
        <v>2560</v>
      </c>
      <c r="B202" s="2" t="s">
        <v>3333</v>
      </c>
      <c r="C202" s="2" t="s">
        <v>3334</v>
      </c>
      <c r="D202" s="2" t="s">
        <v>3335</v>
      </c>
      <c r="E202" s="2" t="s">
        <v>3336</v>
      </c>
      <c r="F202" s="2" t="s">
        <v>3337</v>
      </c>
      <c r="G202" s="2" t="s">
        <v>8</v>
      </c>
      <c r="H202" s="2" t="s">
        <v>698</v>
      </c>
      <c r="I202" s="2" t="s">
        <v>770</v>
      </c>
    </row>
    <row r="203" spans="1:9">
      <c r="A203" s="2" t="s">
        <v>2560</v>
      </c>
      <c r="B203" s="2" t="s">
        <v>3338</v>
      </c>
      <c r="C203" s="2" t="s">
        <v>3339</v>
      </c>
      <c r="D203" s="2" t="s">
        <v>3340</v>
      </c>
      <c r="E203" s="2" t="s">
        <v>786</v>
      </c>
      <c r="F203" s="2" t="s">
        <v>3341</v>
      </c>
      <c r="G203" s="2" t="s">
        <v>7</v>
      </c>
      <c r="H203" s="2" t="s">
        <v>691</v>
      </c>
      <c r="I203" s="2" t="s">
        <v>15</v>
      </c>
    </row>
    <row r="204" spans="1:9">
      <c r="A204" s="2" t="s">
        <v>2560</v>
      </c>
      <c r="B204" s="2" t="s">
        <v>863</v>
      </c>
      <c r="C204" s="2" t="s">
        <v>3342</v>
      </c>
      <c r="D204" s="2" t="s">
        <v>3343</v>
      </c>
      <c r="E204" s="2" t="s">
        <v>787</v>
      </c>
      <c r="F204" s="2" t="s">
        <v>3344</v>
      </c>
      <c r="G204" s="2" t="s">
        <v>8</v>
      </c>
      <c r="H204" s="2" t="s">
        <v>691</v>
      </c>
      <c r="I204" s="2" t="s">
        <v>18</v>
      </c>
    </row>
    <row r="205" spans="1:9">
      <c r="A205" s="2" t="s">
        <v>2560</v>
      </c>
      <c r="B205" s="2" t="s">
        <v>3345</v>
      </c>
      <c r="C205" s="2" t="s">
        <v>3346</v>
      </c>
      <c r="D205" s="2" t="s">
        <v>3347</v>
      </c>
      <c r="E205" s="2" t="s">
        <v>788</v>
      </c>
      <c r="F205" s="2" t="s">
        <v>3348</v>
      </c>
      <c r="G205" s="2" t="s">
        <v>7</v>
      </c>
      <c r="H205" s="2" t="s">
        <v>691</v>
      </c>
      <c r="I205" s="2" t="s">
        <v>15</v>
      </c>
    </row>
    <row r="206" spans="1:9">
      <c r="A206" s="2" t="s">
        <v>2560</v>
      </c>
      <c r="B206" s="2" t="s">
        <v>3349</v>
      </c>
      <c r="C206" s="2" t="s">
        <v>2666</v>
      </c>
      <c r="D206" s="2" t="s">
        <v>3350</v>
      </c>
      <c r="E206" s="2" t="s">
        <v>788</v>
      </c>
      <c r="F206" s="2" t="s">
        <v>3351</v>
      </c>
      <c r="G206" s="2" t="s">
        <v>7</v>
      </c>
      <c r="H206" s="2">
        <v>46</v>
      </c>
      <c r="I206" s="2" t="s">
        <v>16</v>
      </c>
    </row>
    <row r="207" spans="1:9">
      <c r="A207" s="2" t="s">
        <v>2560</v>
      </c>
      <c r="B207" s="2" t="s">
        <v>3352</v>
      </c>
      <c r="C207" s="2" t="s">
        <v>3353</v>
      </c>
      <c r="D207" s="2" t="s">
        <v>3354</v>
      </c>
      <c r="E207" s="2" t="s">
        <v>715</v>
      </c>
      <c r="F207" s="2" t="s">
        <v>3355</v>
      </c>
      <c r="G207" s="2" t="s">
        <v>7</v>
      </c>
      <c r="H207" s="2" t="s">
        <v>698</v>
      </c>
      <c r="I207" s="2" t="s">
        <v>712</v>
      </c>
    </row>
    <row r="208" spans="1:9">
      <c r="A208" s="2" t="s">
        <v>2560</v>
      </c>
      <c r="B208" s="2" t="s">
        <v>3356</v>
      </c>
      <c r="C208" s="2" t="s">
        <v>3357</v>
      </c>
      <c r="D208" s="2" t="s">
        <v>3358</v>
      </c>
      <c r="E208" s="2" t="s">
        <v>789</v>
      </c>
      <c r="F208" s="2" t="s">
        <v>3359</v>
      </c>
      <c r="G208" s="2" t="s">
        <v>7</v>
      </c>
      <c r="H208" s="2" t="s">
        <v>691</v>
      </c>
      <c r="I208" s="2" t="s">
        <v>712</v>
      </c>
    </row>
    <row r="209" spans="1:9">
      <c r="A209" s="2" t="s">
        <v>2560</v>
      </c>
      <c r="B209" s="2" t="s">
        <v>3360</v>
      </c>
      <c r="C209" s="2" t="s">
        <v>3109</v>
      </c>
      <c r="D209" s="2" t="s">
        <v>3361</v>
      </c>
      <c r="E209" s="2" t="s">
        <v>789</v>
      </c>
      <c r="F209" s="2" t="s">
        <v>3362</v>
      </c>
      <c r="G209" s="2" t="s">
        <v>7</v>
      </c>
      <c r="H209" s="2">
        <v>46</v>
      </c>
      <c r="I209" s="2" t="s">
        <v>15</v>
      </c>
    </row>
    <row r="210" spans="1:9">
      <c r="A210" s="2" t="s">
        <v>2560</v>
      </c>
      <c r="B210" s="2" t="s">
        <v>3363</v>
      </c>
      <c r="C210" s="2" t="s">
        <v>2666</v>
      </c>
      <c r="D210" s="2" t="s">
        <v>3364</v>
      </c>
      <c r="E210" s="2" t="s">
        <v>790</v>
      </c>
      <c r="F210" s="2" t="s">
        <v>3365</v>
      </c>
      <c r="G210" s="2" t="s">
        <v>7</v>
      </c>
      <c r="H210" s="2" t="s">
        <v>179</v>
      </c>
      <c r="I210" s="2" t="s">
        <v>712</v>
      </c>
    </row>
    <row r="211" spans="1:9">
      <c r="A211" s="2" t="s">
        <v>2560</v>
      </c>
      <c r="B211" s="2" t="s">
        <v>3366</v>
      </c>
      <c r="C211" s="2" t="s">
        <v>3367</v>
      </c>
      <c r="D211" s="2" t="s">
        <v>3242</v>
      </c>
      <c r="E211" s="2" t="s">
        <v>3368</v>
      </c>
      <c r="F211" s="2" t="s">
        <v>3369</v>
      </c>
      <c r="G211" s="2" t="s">
        <v>8</v>
      </c>
      <c r="H211" s="2" t="s">
        <v>695</v>
      </c>
      <c r="I211" s="2" t="s">
        <v>16</v>
      </c>
    </row>
    <row r="212" spans="1:9">
      <c r="A212" s="2" t="s">
        <v>2560</v>
      </c>
      <c r="B212" s="2" t="s">
        <v>3370</v>
      </c>
      <c r="C212" s="2" t="s">
        <v>3371</v>
      </c>
      <c r="D212" s="2" t="s">
        <v>3372</v>
      </c>
      <c r="E212" s="18" t="s">
        <v>791</v>
      </c>
      <c r="F212" s="2" t="s">
        <v>3373</v>
      </c>
      <c r="G212" s="2" t="s">
        <v>7</v>
      </c>
      <c r="H212" s="2" t="s">
        <v>179</v>
      </c>
      <c r="I212" s="2" t="s">
        <v>25</v>
      </c>
    </row>
    <row r="213" spans="1:9">
      <c r="A213" s="2" t="s">
        <v>2560</v>
      </c>
      <c r="B213" s="2" t="s">
        <v>3374</v>
      </c>
      <c r="C213" s="2" t="s">
        <v>2767</v>
      </c>
      <c r="D213" s="2" t="s">
        <v>3375</v>
      </c>
      <c r="E213" s="2" t="s">
        <v>808</v>
      </c>
      <c r="F213" s="2" t="s">
        <v>3376</v>
      </c>
      <c r="G213" s="2" t="s">
        <v>7</v>
      </c>
      <c r="H213" s="2">
        <v>46</v>
      </c>
      <c r="I213" s="2" t="s">
        <v>15</v>
      </c>
    </row>
    <row r="214" spans="1:9">
      <c r="A214" s="2" t="s">
        <v>2560</v>
      </c>
      <c r="B214" s="2" t="s">
        <v>3377</v>
      </c>
      <c r="C214" s="2" t="s">
        <v>3378</v>
      </c>
      <c r="D214" s="2" t="s">
        <v>3379</v>
      </c>
      <c r="E214" s="2" t="s">
        <v>809</v>
      </c>
      <c r="F214" s="2" t="s">
        <v>3380</v>
      </c>
      <c r="G214" s="2" t="s">
        <v>8</v>
      </c>
      <c r="H214" s="2" t="s">
        <v>698</v>
      </c>
      <c r="I214" s="2" t="s">
        <v>15</v>
      </c>
    </row>
    <row r="215" spans="1:9">
      <c r="A215" s="2" t="s">
        <v>2560</v>
      </c>
      <c r="B215" s="2" t="s">
        <v>3381</v>
      </c>
      <c r="C215" s="2" t="s">
        <v>3083</v>
      </c>
      <c r="D215" s="2" t="s">
        <v>3382</v>
      </c>
      <c r="E215" s="2" t="s">
        <v>809</v>
      </c>
      <c r="F215" s="2" t="s">
        <v>3383</v>
      </c>
      <c r="G215" s="2" t="s">
        <v>7</v>
      </c>
      <c r="H215" s="2">
        <v>46</v>
      </c>
      <c r="I215" s="2" t="s">
        <v>16</v>
      </c>
    </row>
    <row r="216" spans="1:9">
      <c r="A216" s="2" t="s">
        <v>2560</v>
      </c>
      <c r="B216" s="2" t="s">
        <v>3384</v>
      </c>
      <c r="C216" s="2" t="s">
        <v>3385</v>
      </c>
      <c r="D216" s="2" t="s">
        <v>2666</v>
      </c>
      <c r="E216" s="2" t="s">
        <v>258</v>
      </c>
      <c r="F216" s="2" t="s">
        <v>3386</v>
      </c>
      <c r="G216" s="2" t="s">
        <v>7</v>
      </c>
      <c r="H216" s="2" t="s">
        <v>698</v>
      </c>
      <c r="I216" s="2" t="s">
        <v>15</v>
      </c>
    </row>
    <row r="217" spans="1:9">
      <c r="A217" s="2" t="s">
        <v>2560</v>
      </c>
      <c r="B217" s="2" t="s">
        <v>3387</v>
      </c>
      <c r="C217" s="2" t="s">
        <v>3388</v>
      </c>
      <c r="D217" s="2" t="s">
        <v>3389</v>
      </c>
      <c r="E217" s="2" t="s">
        <v>809</v>
      </c>
      <c r="F217" s="2" t="s">
        <v>3390</v>
      </c>
      <c r="G217" s="2" t="s">
        <v>7</v>
      </c>
      <c r="H217" s="2" t="s">
        <v>698</v>
      </c>
      <c r="I217" s="2" t="s">
        <v>15</v>
      </c>
    </row>
    <row r="218" spans="1:9">
      <c r="A218" s="2" t="s">
        <v>2560</v>
      </c>
      <c r="B218" s="2" t="s">
        <v>3391</v>
      </c>
      <c r="C218" s="2" t="s">
        <v>3392</v>
      </c>
      <c r="D218" s="2" t="s">
        <v>3393</v>
      </c>
      <c r="E218" s="2" t="s">
        <v>792</v>
      </c>
      <c r="F218" s="2" t="s">
        <v>3394</v>
      </c>
      <c r="G218" s="2" t="s">
        <v>8</v>
      </c>
      <c r="H218" s="2" t="s">
        <v>179</v>
      </c>
      <c r="I218" s="2" t="s">
        <v>18</v>
      </c>
    </row>
    <row r="219" spans="1:9">
      <c r="A219" s="2" t="s">
        <v>535</v>
      </c>
      <c r="B219" s="2" t="s">
        <v>3395</v>
      </c>
      <c r="C219" s="2" t="s">
        <v>3396</v>
      </c>
      <c r="D219" s="2" t="s">
        <v>3397</v>
      </c>
      <c r="E219" s="2" t="s">
        <v>3398</v>
      </c>
      <c r="F219" s="2" t="s">
        <v>3399</v>
      </c>
      <c r="G219" s="2" t="s">
        <v>8</v>
      </c>
      <c r="H219" s="2">
        <v>46</v>
      </c>
      <c r="I219" s="2" t="s">
        <v>770</v>
      </c>
    </row>
    <row r="220" spans="1:9">
      <c r="A220" s="2" t="s">
        <v>2560</v>
      </c>
      <c r="B220" s="2" t="s">
        <v>3400</v>
      </c>
      <c r="C220" s="2" t="s">
        <v>2803</v>
      </c>
      <c r="D220" s="2" t="s">
        <v>2804</v>
      </c>
      <c r="E220" s="2" t="s">
        <v>793</v>
      </c>
      <c r="F220" s="2" t="s">
        <v>2806</v>
      </c>
      <c r="G220" s="2" t="s">
        <v>8</v>
      </c>
      <c r="H220" s="2" t="s">
        <v>695</v>
      </c>
      <c r="I220" s="2" t="s">
        <v>18</v>
      </c>
    </row>
    <row r="221" spans="1:9">
      <c r="A221" s="2" t="s">
        <v>2560</v>
      </c>
      <c r="B221" s="2" t="s">
        <v>3401</v>
      </c>
      <c r="C221" s="2" t="s">
        <v>3402</v>
      </c>
      <c r="D221" s="2" t="s">
        <v>3403</v>
      </c>
      <c r="E221" s="2" t="s">
        <v>809</v>
      </c>
      <c r="F221" s="2" t="s">
        <v>3404</v>
      </c>
      <c r="G221" s="2" t="s">
        <v>7</v>
      </c>
      <c r="H221" s="2">
        <v>46</v>
      </c>
      <c r="I221" s="2" t="s">
        <v>15</v>
      </c>
    </row>
    <row r="222" spans="1:9">
      <c r="A222" s="2" t="s">
        <v>2560</v>
      </c>
      <c r="B222" s="2" t="s">
        <v>3405</v>
      </c>
      <c r="C222" s="2" t="s">
        <v>3406</v>
      </c>
      <c r="D222" s="2" t="s">
        <v>3407</v>
      </c>
      <c r="E222" s="2" t="s">
        <v>809</v>
      </c>
      <c r="F222" s="2" t="s">
        <v>3408</v>
      </c>
      <c r="G222" s="2" t="s">
        <v>8</v>
      </c>
      <c r="H222" s="2" t="s">
        <v>691</v>
      </c>
      <c r="I222" s="2" t="s">
        <v>15</v>
      </c>
    </row>
    <row r="223" spans="1:9">
      <c r="A223" s="2" t="s">
        <v>2560</v>
      </c>
      <c r="B223" s="2" t="s">
        <v>3409</v>
      </c>
      <c r="C223" s="2" t="s">
        <v>2666</v>
      </c>
      <c r="D223" s="2" t="s">
        <v>3410</v>
      </c>
      <c r="E223" s="2" t="s">
        <v>3411</v>
      </c>
      <c r="F223" s="2" t="s">
        <v>3412</v>
      </c>
      <c r="G223" s="2" t="s">
        <v>7</v>
      </c>
      <c r="H223" s="2" t="s">
        <v>691</v>
      </c>
      <c r="I223" s="2" t="s">
        <v>15</v>
      </c>
    </row>
    <row r="224" spans="1:9">
      <c r="A224" s="2" t="s">
        <v>2560</v>
      </c>
      <c r="B224" s="2" t="s">
        <v>3413</v>
      </c>
      <c r="C224" s="2" t="s">
        <v>3414</v>
      </c>
      <c r="D224" s="2" t="s">
        <v>3415</v>
      </c>
      <c r="E224" s="2" t="s">
        <v>808</v>
      </c>
      <c r="F224" s="2" t="s">
        <v>3416</v>
      </c>
      <c r="G224" s="2" t="s">
        <v>7</v>
      </c>
      <c r="H224" s="2">
        <v>46</v>
      </c>
      <c r="I224" s="2" t="s">
        <v>15</v>
      </c>
    </row>
    <row r="225" spans="1:9">
      <c r="A225" s="2" t="s">
        <v>2560</v>
      </c>
      <c r="B225" s="2" t="s">
        <v>3417</v>
      </c>
      <c r="C225" s="2" t="s">
        <v>3418</v>
      </c>
      <c r="D225" s="2" t="s">
        <v>3419</v>
      </c>
      <c r="E225" s="2" t="s">
        <v>794</v>
      </c>
      <c r="F225" s="2" t="s">
        <v>3420</v>
      </c>
      <c r="G225" s="2" t="s">
        <v>8</v>
      </c>
      <c r="H225" s="2" t="s">
        <v>691</v>
      </c>
      <c r="I225" s="2" t="s">
        <v>15</v>
      </c>
    </row>
    <row r="226" spans="1:9">
      <c r="A226" s="2" t="s">
        <v>2560</v>
      </c>
      <c r="B226" s="2" t="s">
        <v>2428</v>
      </c>
      <c r="C226" s="2" t="s">
        <v>3421</v>
      </c>
      <c r="D226" s="2" t="s">
        <v>3422</v>
      </c>
      <c r="E226" s="2" t="s">
        <v>795</v>
      </c>
      <c r="F226" s="2" t="s">
        <v>3423</v>
      </c>
      <c r="G226" s="2" t="s">
        <v>8</v>
      </c>
      <c r="H226" s="2" t="s">
        <v>691</v>
      </c>
      <c r="I226" s="2" t="s">
        <v>15</v>
      </c>
    </row>
    <row r="227" spans="1:9">
      <c r="A227" s="2" t="s">
        <v>2560</v>
      </c>
      <c r="B227" s="2" t="s">
        <v>931</v>
      </c>
      <c r="C227" s="2" t="s">
        <v>3424</v>
      </c>
      <c r="D227" s="2" t="s">
        <v>3425</v>
      </c>
      <c r="E227" s="2" t="s">
        <v>796</v>
      </c>
      <c r="F227" s="2" t="s">
        <v>3426</v>
      </c>
      <c r="G227" s="2" t="s">
        <v>8</v>
      </c>
      <c r="H227" s="2" t="s">
        <v>691</v>
      </c>
      <c r="I227" s="2" t="s">
        <v>18</v>
      </c>
    </row>
    <row r="228" spans="1:9">
      <c r="A228" s="2" t="s">
        <v>2560</v>
      </c>
      <c r="B228" s="2" t="s">
        <v>3427</v>
      </c>
      <c r="C228" s="2" t="s">
        <v>2995</v>
      </c>
      <c r="D228" s="2" t="s">
        <v>3428</v>
      </c>
      <c r="E228" s="2" t="s">
        <v>809</v>
      </c>
      <c r="F228" s="2" t="s">
        <v>3429</v>
      </c>
      <c r="G228" s="2" t="s">
        <v>8</v>
      </c>
      <c r="H228" s="2" t="s">
        <v>698</v>
      </c>
      <c r="I228" s="2" t="s">
        <v>15</v>
      </c>
    </row>
    <row r="229" spans="1:9">
      <c r="A229" s="2" t="s">
        <v>2560</v>
      </c>
      <c r="B229" s="2" t="s">
        <v>3430</v>
      </c>
      <c r="C229" s="2" t="s">
        <v>3113</v>
      </c>
      <c r="D229" s="2" t="s">
        <v>3191</v>
      </c>
      <c r="E229" s="2" t="s">
        <v>2585</v>
      </c>
      <c r="F229" s="2" t="s">
        <v>3431</v>
      </c>
      <c r="G229" s="2" t="s">
        <v>7</v>
      </c>
      <c r="H229" s="2" t="s">
        <v>179</v>
      </c>
      <c r="I229" s="2" t="s">
        <v>15</v>
      </c>
    </row>
    <row r="230" spans="1:9">
      <c r="A230" s="2" t="s">
        <v>2560</v>
      </c>
      <c r="B230" s="2" t="s">
        <v>3432</v>
      </c>
      <c r="C230" s="2" t="s">
        <v>3433</v>
      </c>
      <c r="D230" s="2" t="s">
        <v>3434</v>
      </c>
      <c r="E230" s="2" t="s">
        <v>809</v>
      </c>
      <c r="F230" s="2" t="s">
        <v>3435</v>
      </c>
      <c r="G230" s="2" t="s">
        <v>7</v>
      </c>
      <c r="H230" s="2">
        <v>46</v>
      </c>
      <c r="I230" s="2" t="s">
        <v>15</v>
      </c>
    </row>
    <row r="231" spans="1:9">
      <c r="A231" s="2" t="s">
        <v>2560</v>
      </c>
      <c r="B231" s="2" t="s">
        <v>3436</v>
      </c>
      <c r="C231" s="2" t="s">
        <v>3437</v>
      </c>
      <c r="D231" s="2" t="s">
        <v>3438</v>
      </c>
      <c r="E231" s="2" t="s">
        <v>809</v>
      </c>
      <c r="F231" s="2" t="s">
        <v>3439</v>
      </c>
      <c r="G231" s="2" t="s">
        <v>8</v>
      </c>
      <c r="H231" s="2" t="s">
        <v>698</v>
      </c>
      <c r="I231" s="2" t="s">
        <v>15</v>
      </c>
    </row>
    <row r="232" spans="1:9">
      <c r="A232" s="2" t="s">
        <v>535</v>
      </c>
      <c r="B232" s="2" t="s">
        <v>3440</v>
      </c>
      <c r="C232" s="2" t="s">
        <v>3441</v>
      </c>
      <c r="D232" s="2" t="s">
        <v>3442</v>
      </c>
      <c r="E232" s="2" t="s">
        <v>3443</v>
      </c>
      <c r="F232" s="2" t="s">
        <v>3444</v>
      </c>
      <c r="G232" s="2" t="s">
        <v>7</v>
      </c>
      <c r="H232" s="2" t="s">
        <v>691</v>
      </c>
      <c r="I232" s="2" t="s">
        <v>740</v>
      </c>
    </row>
    <row r="233" spans="1:9">
      <c r="A233" s="2" t="s">
        <v>535</v>
      </c>
      <c r="B233" s="2" t="s">
        <v>1989</v>
      </c>
      <c r="C233" s="2" t="s">
        <v>3445</v>
      </c>
      <c r="D233" s="2" t="s">
        <v>3446</v>
      </c>
      <c r="E233" s="2" t="s">
        <v>3447</v>
      </c>
      <c r="F233" s="2" t="s">
        <v>3448</v>
      </c>
      <c r="G233" s="2" t="s">
        <v>8</v>
      </c>
      <c r="H233" s="2">
        <v>46</v>
      </c>
      <c r="I233" s="2" t="s">
        <v>23</v>
      </c>
    </row>
    <row r="234" spans="1:9">
      <c r="A234" s="2" t="s">
        <v>2560</v>
      </c>
      <c r="B234" s="2" t="s">
        <v>3449</v>
      </c>
      <c r="C234" s="2" t="s">
        <v>3450</v>
      </c>
      <c r="D234" s="2" t="s">
        <v>3451</v>
      </c>
      <c r="E234" s="2" t="s">
        <v>3114</v>
      </c>
      <c r="F234" s="2" t="s">
        <v>3452</v>
      </c>
      <c r="G234" s="2" t="s">
        <v>7</v>
      </c>
      <c r="H234" s="2" t="s">
        <v>698</v>
      </c>
      <c r="I234" s="2" t="s">
        <v>15</v>
      </c>
    </row>
    <row r="235" spans="1:9">
      <c r="A235" s="2" t="s">
        <v>2560</v>
      </c>
      <c r="B235" s="2" t="s">
        <v>3453</v>
      </c>
      <c r="C235" s="2" t="s">
        <v>3454</v>
      </c>
      <c r="D235" s="2" t="s">
        <v>3455</v>
      </c>
      <c r="E235" s="2" t="s">
        <v>3114</v>
      </c>
      <c r="F235" s="2" t="s">
        <v>3456</v>
      </c>
      <c r="G235" s="2" t="s">
        <v>8</v>
      </c>
      <c r="H235" s="2" t="s">
        <v>698</v>
      </c>
      <c r="I235" s="2" t="s">
        <v>15</v>
      </c>
    </row>
    <row r="236" spans="1:9">
      <c r="A236" s="2" t="s">
        <v>2560</v>
      </c>
      <c r="B236" s="2" t="s">
        <v>3457</v>
      </c>
      <c r="C236" s="2" t="s">
        <v>2897</v>
      </c>
      <c r="D236" s="2" t="s">
        <v>3458</v>
      </c>
      <c r="E236" s="2" t="s">
        <v>3114</v>
      </c>
      <c r="F236" s="2" t="s">
        <v>3459</v>
      </c>
      <c r="G236" s="2" t="s">
        <v>7</v>
      </c>
      <c r="H236" s="2" t="s">
        <v>695</v>
      </c>
      <c r="I236" s="2" t="s">
        <v>15</v>
      </c>
    </row>
    <row r="237" spans="1:9">
      <c r="A237" s="2" t="s">
        <v>535</v>
      </c>
      <c r="B237" s="2" t="s">
        <v>3460</v>
      </c>
      <c r="C237" s="2" t="s">
        <v>3461</v>
      </c>
      <c r="D237" s="2" t="s">
        <v>3462</v>
      </c>
      <c r="E237" s="2" t="s">
        <v>3463</v>
      </c>
      <c r="F237" s="2" t="s">
        <v>3464</v>
      </c>
      <c r="G237" s="2" t="s">
        <v>8</v>
      </c>
      <c r="H237" s="2" t="s">
        <v>698</v>
      </c>
      <c r="I237" s="2" t="s">
        <v>23</v>
      </c>
    </row>
    <row r="238" spans="1:9">
      <c r="A238" s="2" t="s">
        <v>535</v>
      </c>
      <c r="B238" s="2" t="s">
        <v>3465</v>
      </c>
      <c r="C238" s="2" t="s">
        <v>3466</v>
      </c>
      <c r="D238" s="2" t="s">
        <v>3467</v>
      </c>
      <c r="E238" s="2" t="s">
        <v>3468</v>
      </c>
      <c r="F238" s="2" t="s">
        <v>3469</v>
      </c>
      <c r="G238" s="2" t="s">
        <v>7</v>
      </c>
      <c r="H238" s="2" t="s">
        <v>695</v>
      </c>
      <c r="I238" s="2" t="s">
        <v>712</v>
      </c>
    </row>
    <row r="239" spans="1:9">
      <c r="A239" s="2" t="s">
        <v>2560</v>
      </c>
      <c r="B239" s="2" t="s">
        <v>2125</v>
      </c>
      <c r="C239" s="2" t="s">
        <v>2610</v>
      </c>
      <c r="D239" s="2" t="s">
        <v>3470</v>
      </c>
      <c r="E239" s="2" t="s">
        <v>797</v>
      </c>
      <c r="F239" s="2" t="s">
        <v>3471</v>
      </c>
      <c r="G239" s="2" t="s">
        <v>8</v>
      </c>
      <c r="H239" s="2" t="s">
        <v>695</v>
      </c>
      <c r="I239" s="2" t="s">
        <v>18</v>
      </c>
    </row>
    <row r="240" spans="1:9">
      <c r="A240" s="2" t="s">
        <v>535</v>
      </c>
      <c r="B240" s="2" t="s">
        <v>2120</v>
      </c>
      <c r="C240" s="2" t="s">
        <v>3472</v>
      </c>
      <c r="D240" s="2" t="s">
        <v>3473</v>
      </c>
      <c r="E240" s="2" t="s">
        <v>3474</v>
      </c>
      <c r="F240" s="2" t="s">
        <v>3475</v>
      </c>
      <c r="G240" s="2" t="s">
        <v>8</v>
      </c>
      <c r="H240" s="2" t="s">
        <v>179</v>
      </c>
      <c r="I240" s="2" t="s">
        <v>18</v>
      </c>
    </row>
    <row r="241" spans="1:9">
      <c r="A241" s="2" t="s">
        <v>2560</v>
      </c>
      <c r="B241" s="2" t="s">
        <v>1350</v>
      </c>
      <c r="C241" s="2" t="s">
        <v>3476</v>
      </c>
      <c r="D241" s="2" t="s">
        <v>3477</v>
      </c>
      <c r="E241" s="2" t="s">
        <v>3478</v>
      </c>
      <c r="F241" s="2" t="s">
        <v>3479</v>
      </c>
      <c r="G241" s="2" t="s">
        <v>8</v>
      </c>
      <c r="H241" s="2" t="s">
        <v>695</v>
      </c>
      <c r="I241" s="2" t="s">
        <v>23</v>
      </c>
    </row>
    <row r="242" spans="1:9">
      <c r="A242" s="2" t="s">
        <v>2560</v>
      </c>
      <c r="B242" s="2" t="s">
        <v>2031</v>
      </c>
      <c r="C242" s="2" t="s">
        <v>3275</v>
      </c>
      <c r="D242" s="2" t="s">
        <v>3480</v>
      </c>
      <c r="E242" s="2" t="s">
        <v>798</v>
      </c>
      <c r="F242" s="2" t="s">
        <v>3481</v>
      </c>
      <c r="G242" s="2" t="s">
        <v>7</v>
      </c>
      <c r="H242" s="2" t="s">
        <v>691</v>
      </c>
      <c r="I242" s="2" t="s">
        <v>16</v>
      </c>
    </row>
    <row r="243" spans="1:9">
      <c r="A243" s="2" t="s">
        <v>2560</v>
      </c>
      <c r="B243" s="2" t="s">
        <v>2444</v>
      </c>
      <c r="C243" s="2" t="s">
        <v>2791</v>
      </c>
      <c r="D243" s="2" t="s">
        <v>3482</v>
      </c>
      <c r="E243" s="2" t="s">
        <v>799</v>
      </c>
      <c r="F243" s="2" t="s">
        <v>3483</v>
      </c>
      <c r="G243" s="2" t="s">
        <v>8</v>
      </c>
      <c r="H243" s="2" t="s">
        <v>698</v>
      </c>
      <c r="I243" s="2" t="s">
        <v>18</v>
      </c>
    </row>
    <row r="244" spans="1:9">
      <c r="A244" s="2" t="s">
        <v>2560</v>
      </c>
      <c r="B244" s="2" t="s">
        <v>3484</v>
      </c>
      <c r="C244" s="2" t="s">
        <v>3485</v>
      </c>
      <c r="D244" s="2" t="s">
        <v>3486</v>
      </c>
      <c r="E244" s="2" t="s">
        <v>800</v>
      </c>
      <c r="F244" s="2" t="s">
        <v>3487</v>
      </c>
      <c r="G244" s="2" t="s">
        <v>8</v>
      </c>
      <c r="H244" s="2" t="s">
        <v>695</v>
      </c>
      <c r="I244" s="2" t="s">
        <v>700</v>
      </c>
    </row>
    <row r="245" spans="1:9">
      <c r="A245" s="2" t="s">
        <v>2560</v>
      </c>
      <c r="B245" s="2" t="s">
        <v>3488</v>
      </c>
      <c r="C245" s="2" t="s">
        <v>3489</v>
      </c>
      <c r="D245" s="2" t="s">
        <v>3490</v>
      </c>
      <c r="E245" s="2" t="s">
        <v>801</v>
      </c>
      <c r="F245" s="2" t="s">
        <v>3491</v>
      </c>
      <c r="G245" s="2" t="s">
        <v>7</v>
      </c>
      <c r="H245" s="2" t="s">
        <v>691</v>
      </c>
      <c r="I245" s="2" t="s">
        <v>15</v>
      </c>
    </row>
    <row r="246" spans="1:9">
      <c r="A246" s="2" t="s">
        <v>2560</v>
      </c>
      <c r="B246" s="2" t="s">
        <v>3492</v>
      </c>
      <c r="C246" s="2" t="s">
        <v>3493</v>
      </c>
      <c r="D246" s="2" t="s">
        <v>3494</v>
      </c>
      <c r="E246" s="2" t="s">
        <v>802</v>
      </c>
      <c r="F246" s="2" t="s">
        <v>3495</v>
      </c>
      <c r="G246" s="2" t="s">
        <v>8</v>
      </c>
      <c r="H246" s="2">
        <v>46</v>
      </c>
      <c r="I246" s="2" t="s">
        <v>729</v>
      </c>
    </row>
    <row r="247" spans="1:9">
      <c r="A247" s="2" t="s">
        <v>535</v>
      </c>
      <c r="B247" s="2" t="s">
        <v>1971</v>
      </c>
      <c r="C247" s="2" t="s">
        <v>3496</v>
      </c>
      <c r="D247" s="2" t="s">
        <v>3497</v>
      </c>
      <c r="E247" s="2" t="s">
        <v>3498</v>
      </c>
      <c r="F247" s="2" t="s">
        <v>3499</v>
      </c>
      <c r="G247" s="2" t="s">
        <v>8</v>
      </c>
      <c r="H247" s="2">
        <v>46</v>
      </c>
      <c r="I247" s="2" t="s">
        <v>23</v>
      </c>
    </row>
    <row r="248" spans="1:9">
      <c r="A248" s="2" t="s">
        <v>2560</v>
      </c>
      <c r="B248" s="2" t="s">
        <v>3500</v>
      </c>
      <c r="C248" s="2" t="s">
        <v>3501</v>
      </c>
      <c r="D248" s="2" t="s">
        <v>3502</v>
      </c>
      <c r="E248" s="2" t="s">
        <v>803</v>
      </c>
      <c r="F248" s="2" t="s">
        <v>3503</v>
      </c>
      <c r="G248" s="2" t="s">
        <v>7</v>
      </c>
      <c r="H248" s="2" t="s">
        <v>695</v>
      </c>
      <c r="I248" s="2" t="s">
        <v>23</v>
      </c>
    </row>
    <row r="249" spans="1:9">
      <c r="A249" s="2" t="s">
        <v>2560</v>
      </c>
      <c r="B249" s="2" t="s">
        <v>1179</v>
      </c>
      <c r="C249" s="2" t="s">
        <v>3396</v>
      </c>
      <c r="D249" s="2" t="s">
        <v>3504</v>
      </c>
      <c r="E249" s="2" t="s">
        <v>804</v>
      </c>
      <c r="F249" s="2" t="s">
        <v>3505</v>
      </c>
      <c r="G249" s="2" t="s">
        <v>8</v>
      </c>
      <c r="H249" s="2" t="s">
        <v>691</v>
      </c>
      <c r="I249" s="2" t="s">
        <v>729</v>
      </c>
    </row>
    <row r="250" spans="1:9">
      <c r="A250" s="2" t="s">
        <v>2560</v>
      </c>
      <c r="B250" s="2" t="s">
        <v>3506</v>
      </c>
      <c r="C250" s="2" t="s">
        <v>3472</v>
      </c>
      <c r="D250" s="2" t="s">
        <v>3322</v>
      </c>
      <c r="E250" s="2" t="s">
        <v>805</v>
      </c>
      <c r="F250" s="2" t="s">
        <v>3507</v>
      </c>
      <c r="G250" s="2" t="s">
        <v>8</v>
      </c>
      <c r="H250" s="2" t="s">
        <v>179</v>
      </c>
      <c r="I250" s="2" t="s">
        <v>18</v>
      </c>
    </row>
    <row r="251" spans="1:9">
      <c r="A251" s="2" t="s">
        <v>2560</v>
      </c>
      <c r="B251" s="2" t="s">
        <v>1346</v>
      </c>
      <c r="C251" s="2" t="s">
        <v>3508</v>
      </c>
      <c r="D251" s="2" t="s">
        <v>3509</v>
      </c>
      <c r="E251" s="2" t="s">
        <v>3510</v>
      </c>
      <c r="F251" s="2" t="s">
        <v>3511</v>
      </c>
      <c r="G251" s="2" t="s">
        <v>8</v>
      </c>
      <c r="H251" s="2" t="s">
        <v>691</v>
      </c>
      <c r="I251" s="2" t="s">
        <v>23</v>
      </c>
    </row>
    <row r="252" spans="1:9">
      <c r="A252" s="2" t="s">
        <v>2560</v>
      </c>
      <c r="B252" s="2" t="s">
        <v>3512</v>
      </c>
      <c r="C252" s="2" t="s">
        <v>2669</v>
      </c>
      <c r="D252" s="2" t="s">
        <v>3513</v>
      </c>
      <c r="E252" s="2" t="s">
        <v>724</v>
      </c>
      <c r="F252" s="2" t="s">
        <v>3514</v>
      </c>
      <c r="G252" s="2" t="s">
        <v>7</v>
      </c>
      <c r="H252" s="2" t="s">
        <v>179</v>
      </c>
      <c r="I252" s="2" t="s">
        <v>15</v>
      </c>
    </row>
    <row r="253" spans="1:9">
      <c r="A253" s="2" t="s">
        <v>2560</v>
      </c>
      <c r="B253" s="2" t="s">
        <v>2016</v>
      </c>
      <c r="C253" s="2" t="s">
        <v>3515</v>
      </c>
      <c r="D253" s="2" t="s">
        <v>3516</v>
      </c>
      <c r="E253" s="2" t="s">
        <v>806</v>
      </c>
      <c r="F253" s="2" t="s">
        <v>3517</v>
      </c>
      <c r="G253" s="2" t="s">
        <v>8</v>
      </c>
      <c r="H253" s="2" t="s">
        <v>691</v>
      </c>
      <c r="I253" s="2" t="s">
        <v>16</v>
      </c>
    </row>
    <row r="254" spans="1:9">
      <c r="A254" s="2" t="s">
        <v>2560</v>
      </c>
      <c r="B254" s="2" t="s">
        <v>3518</v>
      </c>
      <c r="C254" s="2" t="s">
        <v>3519</v>
      </c>
      <c r="D254" s="2" t="s">
        <v>3520</v>
      </c>
      <c r="E254" s="2" t="s">
        <v>807</v>
      </c>
      <c r="F254" s="2" t="s">
        <v>3521</v>
      </c>
      <c r="G254" s="2" t="s">
        <v>8</v>
      </c>
      <c r="H254" s="2">
        <v>46</v>
      </c>
      <c r="I254" s="2" t="s">
        <v>18</v>
      </c>
    </row>
    <row r="255" spans="1:9">
      <c r="A255" s="2" t="s">
        <v>2560</v>
      </c>
      <c r="B255" s="2" t="s">
        <v>1130</v>
      </c>
      <c r="C255" s="2" t="s">
        <v>2868</v>
      </c>
      <c r="D255" s="2" t="s">
        <v>3522</v>
      </c>
      <c r="E255" s="2" t="s">
        <v>2726</v>
      </c>
      <c r="F255" s="2" t="s">
        <v>2727</v>
      </c>
      <c r="G255" s="2" t="s">
        <v>7</v>
      </c>
      <c r="H255" s="2" t="s">
        <v>179</v>
      </c>
      <c r="I255" s="2" t="s">
        <v>15</v>
      </c>
    </row>
    <row r="256" spans="1:9">
      <c r="A256" s="2" t="s">
        <v>2560</v>
      </c>
      <c r="B256" s="2" t="s">
        <v>3523</v>
      </c>
      <c r="C256" s="2" t="s">
        <v>3524</v>
      </c>
      <c r="D256" s="2" t="s">
        <v>3525</v>
      </c>
      <c r="E256" s="2" t="s">
        <v>769</v>
      </c>
      <c r="F256" s="2" t="s">
        <v>3526</v>
      </c>
      <c r="G256" s="2" t="s">
        <v>7</v>
      </c>
      <c r="H256" s="2" t="s">
        <v>698</v>
      </c>
      <c r="I256" s="2" t="s">
        <v>15</v>
      </c>
    </row>
  </sheetData>
  <autoFilter ref="A1:I256" xr:uid="{00000000-0001-0000-0000-000000000000}"/>
  <conditionalFormatting sqref="E1:E1048576">
    <cfRule type="duplicateValues" dxfId="3" priority="1"/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8E1D-A1CE-4249-B2A5-88D3DC109CBC}">
  <dimension ref="A1:K233"/>
  <sheetViews>
    <sheetView showOutlineSymbols="0" showWhiteSpace="0" zoomScale="55" zoomScaleNormal="55" workbookViewId="0">
      <pane ySplit="1" topLeftCell="A2" activePane="bottomLeft" state="frozen"/>
      <selection pane="bottomLeft" activeCell="E23" sqref="E23"/>
    </sheetView>
  </sheetViews>
  <sheetFormatPr baseColWidth="10" defaultColWidth="8.83203125" defaultRowHeight="14"/>
  <cols>
    <col min="1" max="1" width="8.83203125" bestFit="1" customWidth="1"/>
    <col min="2" max="2" width="33.6640625" bestFit="1" customWidth="1"/>
    <col min="3" max="3" width="12" bestFit="1" customWidth="1"/>
    <col min="4" max="4" width="18.1640625" bestFit="1" customWidth="1"/>
    <col min="5" max="5" width="79.83203125" bestFit="1" customWidth="1"/>
    <col min="6" max="6" width="17.6640625" bestFit="1" customWidth="1"/>
    <col min="7" max="7" width="7.33203125" bestFit="1" customWidth="1"/>
    <col min="8" max="8" width="10.5" bestFit="1" customWidth="1"/>
    <col min="9" max="9" width="8.83203125" bestFit="1" customWidth="1"/>
  </cols>
  <sheetData>
    <row r="1" spans="1:9" ht="33.5" customHeight="1">
      <c r="A1" s="1" t="s">
        <v>826</v>
      </c>
      <c r="B1" s="1" t="s">
        <v>2536</v>
      </c>
      <c r="C1" s="1" t="s">
        <v>2537</v>
      </c>
      <c r="D1" s="1" t="s">
        <v>2538</v>
      </c>
      <c r="E1" s="1" t="s">
        <v>2539</v>
      </c>
      <c r="F1" s="1" t="s">
        <v>2540</v>
      </c>
      <c r="G1" s="1" t="s">
        <v>2541</v>
      </c>
      <c r="H1" s="1" t="s">
        <v>2542</v>
      </c>
      <c r="I1" s="1" t="s">
        <v>2543</v>
      </c>
    </row>
    <row r="2" spans="1:9">
      <c r="A2" s="2" t="s">
        <v>2560</v>
      </c>
      <c r="B2" s="2" t="s">
        <v>2561</v>
      </c>
      <c r="C2" s="2" t="s">
        <v>2562</v>
      </c>
      <c r="D2" s="2" t="s">
        <v>2563</v>
      </c>
      <c r="E2" s="2" t="s">
        <v>808</v>
      </c>
      <c r="F2" s="2" t="s">
        <v>2564</v>
      </c>
      <c r="G2" s="2" t="s">
        <v>7</v>
      </c>
      <c r="H2" s="2" t="s">
        <v>695</v>
      </c>
      <c r="I2" s="2" t="s">
        <v>16</v>
      </c>
    </row>
    <row r="3" spans="1:9">
      <c r="A3" s="2" t="s">
        <v>2560</v>
      </c>
      <c r="B3" s="2" t="s">
        <v>1076</v>
      </c>
      <c r="C3" s="2" t="s">
        <v>2565</v>
      </c>
      <c r="D3" s="2" t="s">
        <v>2566</v>
      </c>
      <c r="E3" s="2" t="s">
        <v>2567</v>
      </c>
      <c r="F3" s="2" t="s">
        <v>2568</v>
      </c>
      <c r="G3" s="2" t="s">
        <v>8</v>
      </c>
      <c r="H3" s="2">
        <v>46</v>
      </c>
      <c r="I3" s="2" t="s">
        <v>729</v>
      </c>
    </row>
    <row r="4" spans="1:9">
      <c r="A4" s="2" t="s">
        <v>2560</v>
      </c>
      <c r="B4" s="2" t="s">
        <v>1329</v>
      </c>
      <c r="C4" s="2" t="s">
        <v>2569</v>
      </c>
      <c r="D4" s="2" t="s">
        <v>2570</v>
      </c>
      <c r="E4" s="2" t="s">
        <v>2571</v>
      </c>
      <c r="F4" s="2" t="s">
        <v>2572</v>
      </c>
      <c r="G4" s="2" t="s">
        <v>8</v>
      </c>
      <c r="H4" s="2" t="s">
        <v>691</v>
      </c>
      <c r="I4" s="2" t="s">
        <v>18</v>
      </c>
    </row>
    <row r="5" spans="1:9">
      <c r="A5" s="2" t="s">
        <v>2560</v>
      </c>
      <c r="B5" s="2" t="s">
        <v>2573</v>
      </c>
      <c r="C5" s="2" t="s">
        <v>2574</v>
      </c>
      <c r="D5" s="2" t="s">
        <v>2575</v>
      </c>
      <c r="E5" s="2" t="s">
        <v>234</v>
      </c>
      <c r="F5" s="2" t="s">
        <v>2576</v>
      </c>
      <c r="G5" s="2" t="s">
        <v>8</v>
      </c>
      <c r="H5" s="2" t="s">
        <v>698</v>
      </c>
      <c r="I5" s="2" t="s">
        <v>15</v>
      </c>
    </row>
    <row r="6" spans="1:9">
      <c r="A6" s="2" t="s">
        <v>2560</v>
      </c>
      <c r="B6" s="2" t="s">
        <v>2577</v>
      </c>
      <c r="C6" s="2" t="s">
        <v>2578</v>
      </c>
      <c r="D6" s="2" t="s">
        <v>2579</v>
      </c>
      <c r="E6" s="2" t="s">
        <v>2580</v>
      </c>
      <c r="F6" s="2" t="s">
        <v>2581</v>
      </c>
      <c r="G6" s="2" t="s">
        <v>7</v>
      </c>
      <c r="H6" s="2" t="s">
        <v>695</v>
      </c>
      <c r="I6" s="2" t="s">
        <v>700</v>
      </c>
    </row>
    <row r="7" spans="1:9">
      <c r="A7" s="2" t="s">
        <v>2560</v>
      </c>
      <c r="B7" s="2" t="s">
        <v>2582</v>
      </c>
      <c r="C7" s="2" t="s">
        <v>2583</v>
      </c>
      <c r="D7" s="2" t="s">
        <v>2584</v>
      </c>
      <c r="E7" s="2" t="s">
        <v>2585</v>
      </c>
      <c r="F7" s="2" t="s">
        <v>2586</v>
      </c>
      <c r="G7" s="2" t="s">
        <v>7</v>
      </c>
      <c r="H7" s="2" t="s">
        <v>179</v>
      </c>
      <c r="I7" s="2" t="s">
        <v>15</v>
      </c>
    </row>
    <row r="8" spans="1:9">
      <c r="A8" s="2" t="s">
        <v>2560</v>
      </c>
      <c r="B8" s="2" t="s">
        <v>1103</v>
      </c>
      <c r="C8" s="2" t="s">
        <v>2587</v>
      </c>
      <c r="D8" s="2" t="s">
        <v>2588</v>
      </c>
      <c r="E8" s="2" t="s">
        <v>2589</v>
      </c>
      <c r="F8" s="2" t="s">
        <v>2590</v>
      </c>
      <c r="G8" s="2" t="s">
        <v>8</v>
      </c>
      <c r="H8" s="2" t="s">
        <v>691</v>
      </c>
      <c r="I8" s="2" t="s">
        <v>23</v>
      </c>
    </row>
    <row r="9" spans="1:9">
      <c r="A9" s="2" t="s">
        <v>2560</v>
      </c>
      <c r="B9" s="2" t="s">
        <v>1033</v>
      </c>
      <c r="C9" s="2" t="s">
        <v>2591</v>
      </c>
      <c r="D9" s="2" t="s">
        <v>2592</v>
      </c>
      <c r="E9" s="2" t="s">
        <v>2593</v>
      </c>
      <c r="F9" s="2" t="s">
        <v>2594</v>
      </c>
      <c r="G9" s="2" t="s">
        <v>7</v>
      </c>
      <c r="H9" s="2" t="s">
        <v>695</v>
      </c>
      <c r="I9" s="2" t="s">
        <v>16</v>
      </c>
    </row>
    <row r="10" spans="1:9">
      <c r="A10" s="2" t="s">
        <v>2560</v>
      </c>
      <c r="B10" s="2" t="s">
        <v>1304</v>
      </c>
      <c r="C10" s="2" t="s">
        <v>2595</v>
      </c>
      <c r="D10" s="2" t="s">
        <v>2596</v>
      </c>
      <c r="E10" s="2" t="s">
        <v>690</v>
      </c>
      <c r="F10" s="2" t="s">
        <v>2597</v>
      </c>
      <c r="G10" s="2" t="s">
        <v>8</v>
      </c>
      <c r="H10" s="2" t="s">
        <v>691</v>
      </c>
      <c r="I10" s="2" t="s">
        <v>23</v>
      </c>
    </row>
    <row r="11" spans="1:9">
      <c r="A11" s="2" t="s">
        <v>2560</v>
      </c>
      <c r="B11" s="2" t="s">
        <v>2598</v>
      </c>
      <c r="C11" s="2" t="s">
        <v>2599</v>
      </c>
      <c r="D11" s="2" t="s">
        <v>2600</v>
      </c>
      <c r="E11" s="2" t="s">
        <v>694</v>
      </c>
      <c r="F11" s="2" t="s">
        <v>2601</v>
      </c>
      <c r="G11" s="2" t="s">
        <v>7</v>
      </c>
      <c r="H11" s="2" t="s">
        <v>695</v>
      </c>
      <c r="I11" s="2" t="s">
        <v>15</v>
      </c>
    </row>
    <row r="12" spans="1:9">
      <c r="A12" s="2" t="s">
        <v>2560</v>
      </c>
      <c r="B12" s="2" t="s">
        <v>2602</v>
      </c>
      <c r="C12" s="2" t="s">
        <v>2603</v>
      </c>
      <c r="D12" s="2" t="s">
        <v>2604</v>
      </c>
      <c r="E12" s="2" t="s">
        <v>696</v>
      </c>
      <c r="F12" s="2" t="s">
        <v>2605</v>
      </c>
      <c r="G12" s="2" t="s">
        <v>8</v>
      </c>
      <c r="H12" s="2" t="s">
        <v>691</v>
      </c>
      <c r="I12" s="2" t="s">
        <v>18</v>
      </c>
    </row>
    <row r="13" spans="1:9">
      <c r="A13" s="2" t="s">
        <v>2560</v>
      </c>
      <c r="B13" s="2" t="s">
        <v>2130</v>
      </c>
      <c r="C13" s="2" t="s">
        <v>2606</v>
      </c>
      <c r="D13" s="2" t="s">
        <v>2607</v>
      </c>
      <c r="E13" s="2" t="s">
        <v>697</v>
      </c>
      <c r="F13" s="2" t="s">
        <v>2608</v>
      </c>
      <c r="G13" s="2" t="s">
        <v>7</v>
      </c>
      <c r="H13" s="2" t="s">
        <v>698</v>
      </c>
      <c r="I13" s="2" t="s">
        <v>18</v>
      </c>
    </row>
    <row r="14" spans="1:9">
      <c r="A14" s="2" t="s">
        <v>2560</v>
      </c>
      <c r="B14" s="2" t="s">
        <v>2609</v>
      </c>
      <c r="C14" s="2" t="s">
        <v>2610</v>
      </c>
      <c r="D14" s="2" t="s">
        <v>2611</v>
      </c>
      <c r="E14" s="2" t="s">
        <v>2612</v>
      </c>
      <c r="F14" s="2" t="s">
        <v>2613</v>
      </c>
      <c r="G14" s="2" t="s">
        <v>8</v>
      </c>
      <c r="H14" s="2" t="s">
        <v>698</v>
      </c>
      <c r="I14" s="2" t="s">
        <v>729</v>
      </c>
    </row>
    <row r="15" spans="1:9">
      <c r="A15" s="2" t="s">
        <v>2560</v>
      </c>
      <c r="B15" s="2" t="s">
        <v>1925</v>
      </c>
      <c r="C15" s="2" t="s">
        <v>2619</v>
      </c>
      <c r="D15" s="2" t="s">
        <v>2620</v>
      </c>
      <c r="E15" s="2" t="s">
        <v>699</v>
      </c>
      <c r="F15" s="2" t="s">
        <v>2621</v>
      </c>
      <c r="G15" s="2" t="s">
        <v>8</v>
      </c>
      <c r="H15" s="2">
        <v>46</v>
      </c>
      <c r="I15" s="2" t="s">
        <v>700</v>
      </c>
    </row>
    <row r="16" spans="1:9">
      <c r="A16" s="2" t="s">
        <v>2560</v>
      </c>
      <c r="B16" s="2" t="s">
        <v>2334</v>
      </c>
      <c r="C16" s="2" t="s">
        <v>2622</v>
      </c>
      <c r="D16" s="2" t="s">
        <v>2623</v>
      </c>
      <c r="E16" s="2" t="s">
        <v>701</v>
      </c>
      <c r="F16" s="2" t="s">
        <v>2624</v>
      </c>
      <c r="G16" s="2" t="s">
        <v>7</v>
      </c>
      <c r="H16" s="2" t="s">
        <v>691</v>
      </c>
      <c r="I16" s="2" t="s">
        <v>15</v>
      </c>
    </row>
    <row r="17" spans="1:9">
      <c r="A17" s="2" t="s">
        <v>2560</v>
      </c>
      <c r="B17" s="2" t="s">
        <v>2625</v>
      </c>
      <c r="C17" s="2" t="s">
        <v>2626</v>
      </c>
      <c r="D17" s="2" t="s">
        <v>2627</v>
      </c>
      <c r="E17" s="2" t="s">
        <v>702</v>
      </c>
      <c r="F17" s="2" t="s">
        <v>2628</v>
      </c>
      <c r="G17" s="2" t="s">
        <v>7</v>
      </c>
      <c r="H17" s="2" t="s">
        <v>691</v>
      </c>
      <c r="I17" s="2" t="s">
        <v>15</v>
      </c>
    </row>
    <row r="18" spans="1:9">
      <c r="A18" s="2" t="s">
        <v>2560</v>
      </c>
      <c r="B18" s="2" t="s">
        <v>2228</v>
      </c>
      <c r="C18" s="2" t="s">
        <v>2629</v>
      </c>
      <c r="D18" s="2" t="s">
        <v>2630</v>
      </c>
      <c r="E18" s="2" t="s">
        <v>703</v>
      </c>
      <c r="F18" s="2" t="s">
        <v>2631</v>
      </c>
      <c r="G18" s="2" t="s">
        <v>7</v>
      </c>
      <c r="H18" s="2" t="s">
        <v>691</v>
      </c>
      <c r="I18" s="2" t="s">
        <v>15</v>
      </c>
    </row>
    <row r="19" spans="1:9">
      <c r="A19" s="2" t="s">
        <v>2560</v>
      </c>
      <c r="B19" s="2" t="s">
        <v>2416</v>
      </c>
      <c r="C19" s="2" t="s">
        <v>2632</v>
      </c>
      <c r="D19" s="2" t="s">
        <v>2633</v>
      </c>
      <c r="E19" s="2" t="s">
        <v>704</v>
      </c>
      <c r="F19" s="2" t="s">
        <v>2634</v>
      </c>
      <c r="G19" s="2" t="s">
        <v>7</v>
      </c>
      <c r="H19" s="2">
        <v>46</v>
      </c>
      <c r="I19" s="2" t="s">
        <v>16</v>
      </c>
    </row>
    <row r="20" spans="1:9">
      <c r="A20" s="2" t="s">
        <v>2560</v>
      </c>
      <c r="B20" s="2" t="s">
        <v>2266</v>
      </c>
      <c r="C20" s="2" t="s">
        <v>2635</v>
      </c>
      <c r="D20" s="2" t="s">
        <v>2636</v>
      </c>
      <c r="E20" s="2" t="s">
        <v>705</v>
      </c>
      <c r="F20" s="2" t="s">
        <v>2637</v>
      </c>
      <c r="G20" s="2" t="s">
        <v>8</v>
      </c>
      <c r="H20" s="2" t="s">
        <v>691</v>
      </c>
      <c r="I20" s="2" t="s">
        <v>15</v>
      </c>
    </row>
    <row r="21" spans="1:9">
      <c r="A21" s="2" t="s">
        <v>2560</v>
      </c>
      <c r="B21" s="2" t="s">
        <v>2316</v>
      </c>
      <c r="C21" s="2" t="s">
        <v>2638</v>
      </c>
      <c r="D21" s="2" t="s">
        <v>2639</v>
      </c>
      <c r="E21" s="2" t="s">
        <v>706</v>
      </c>
      <c r="F21" s="2" t="s">
        <v>2640</v>
      </c>
      <c r="G21" s="2" t="s">
        <v>8</v>
      </c>
      <c r="H21" s="2" t="s">
        <v>691</v>
      </c>
      <c r="I21" s="2" t="s">
        <v>15</v>
      </c>
    </row>
    <row r="22" spans="1:9">
      <c r="A22" s="2" t="s">
        <v>2560</v>
      </c>
      <c r="B22" s="2" t="s">
        <v>2641</v>
      </c>
      <c r="C22" s="2" t="s">
        <v>2642</v>
      </c>
      <c r="D22" s="2" t="s">
        <v>2643</v>
      </c>
      <c r="E22" s="2" t="s">
        <v>2644</v>
      </c>
      <c r="F22" s="2" t="s">
        <v>2645</v>
      </c>
      <c r="G22" s="2" t="s">
        <v>8</v>
      </c>
      <c r="H22" s="2" t="s">
        <v>691</v>
      </c>
      <c r="I22" s="2" t="s">
        <v>16</v>
      </c>
    </row>
    <row r="23" spans="1:9">
      <c r="A23" s="2" t="s">
        <v>2560</v>
      </c>
      <c r="B23" s="2" t="s">
        <v>2350</v>
      </c>
      <c r="C23" s="2" t="s">
        <v>2646</v>
      </c>
      <c r="D23" s="2" t="s">
        <v>2647</v>
      </c>
      <c r="E23" s="2" t="s">
        <v>707</v>
      </c>
      <c r="F23" s="2" t="s">
        <v>2648</v>
      </c>
      <c r="G23" s="2" t="s">
        <v>7</v>
      </c>
      <c r="H23" s="2" t="s">
        <v>698</v>
      </c>
      <c r="I23" s="2" t="s">
        <v>15</v>
      </c>
    </row>
    <row r="24" spans="1:9">
      <c r="A24" s="2" t="s">
        <v>2560</v>
      </c>
      <c r="B24" s="2" t="s">
        <v>2649</v>
      </c>
      <c r="C24" s="2" t="s">
        <v>2650</v>
      </c>
      <c r="D24" s="2" t="s">
        <v>2651</v>
      </c>
      <c r="E24" s="2" t="s">
        <v>287</v>
      </c>
      <c r="F24" s="2" t="s">
        <v>2652</v>
      </c>
      <c r="G24" s="2" t="s">
        <v>7</v>
      </c>
      <c r="H24" s="2" t="s">
        <v>695</v>
      </c>
      <c r="I24" s="2" t="s">
        <v>700</v>
      </c>
    </row>
    <row r="25" spans="1:9">
      <c r="A25" s="2" t="s">
        <v>2560</v>
      </c>
      <c r="B25" s="2" t="s">
        <v>2653</v>
      </c>
      <c r="C25" s="2" t="s">
        <v>2654</v>
      </c>
      <c r="D25" s="2" t="s">
        <v>2655</v>
      </c>
      <c r="E25" s="2" t="s">
        <v>2656</v>
      </c>
      <c r="F25" s="2" t="s">
        <v>2657</v>
      </c>
      <c r="G25" s="2" t="s">
        <v>8</v>
      </c>
      <c r="H25" s="2" t="s">
        <v>695</v>
      </c>
      <c r="I25" s="2" t="s">
        <v>16</v>
      </c>
    </row>
    <row r="26" spans="1:9">
      <c r="A26" s="2" t="s">
        <v>2560</v>
      </c>
      <c r="B26" s="2" t="s">
        <v>2658</v>
      </c>
      <c r="C26" s="2" t="s">
        <v>2659</v>
      </c>
      <c r="D26" s="2" t="s">
        <v>2660</v>
      </c>
      <c r="E26" s="2" t="s">
        <v>708</v>
      </c>
      <c r="F26" s="2" t="s">
        <v>2661</v>
      </c>
      <c r="G26" s="2" t="s">
        <v>7</v>
      </c>
      <c r="H26" s="2" t="s">
        <v>695</v>
      </c>
      <c r="I26" s="2" t="s">
        <v>700</v>
      </c>
    </row>
    <row r="27" spans="1:9">
      <c r="A27" s="2" t="s">
        <v>2560</v>
      </c>
      <c r="B27" s="2" t="s">
        <v>1440</v>
      </c>
      <c r="C27" s="2" t="s">
        <v>2662</v>
      </c>
      <c r="D27" s="2" t="s">
        <v>2663</v>
      </c>
      <c r="E27" s="2" t="s">
        <v>709</v>
      </c>
      <c r="F27" s="2" t="s">
        <v>2664</v>
      </c>
      <c r="G27" s="2" t="s">
        <v>7</v>
      </c>
      <c r="H27" s="2" t="s">
        <v>179</v>
      </c>
      <c r="I27" s="2" t="s">
        <v>710</v>
      </c>
    </row>
    <row r="28" spans="1:9">
      <c r="A28" s="2" t="s">
        <v>2560</v>
      </c>
      <c r="B28" s="2" t="s">
        <v>2665</v>
      </c>
      <c r="C28" s="2" t="s">
        <v>2666</v>
      </c>
      <c r="D28" s="2" t="s">
        <v>2667</v>
      </c>
      <c r="E28" s="2" t="s">
        <v>711</v>
      </c>
      <c r="F28" s="2" t="s">
        <v>2668</v>
      </c>
      <c r="G28" s="2" t="s">
        <v>7</v>
      </c>
      <c r="H28" s="2" t="s">
        <v>695</v>
      </c>
      <c r="I28" s="2" t="s">
        <v>712</v>
      </c>
    </row>
    <row r="29" spans="1:9">
      <c r="A29" s="2" t="s">
        <v>2560</v>
      </c>
      <c r="B29" s="2" t="s">
        <v>2470</v>
      </c>
      <c r="C29" s="2" t="s">
        <v>2669</v>
      </c>
      <c r="D29" s="2" t="s">
        <v>2670</v>
      </c>
      <c r="E29" s="2" t="s">
        <v>713</v>
      </c>
      <c r="F29" s="2" t="s">
        <v>2671</v>
      </c>
      <c r="G29" s="2" t="s">
        <v>7</v>
      </c>
      <c r="H29" s="2" t="s">
        <v>179</v>
      </c>
      <c r="I29" s="2" t="s">
        <v>15</v>
      </c>
    </row>
    <row r="30" spans="1:9">
      <c r="A30" s="2" t="s">
        <v>2560</v>
      </c>
      <c r="B30" s="2" t="s">
        <v>2345</v>
      </c>
      <c r="C30" s="2" t="s">
        <v>2642</v>
      </c>
      <c r="D30" s="2" t="s">
        <v>2672</v>
      </c>
      <c r="E30" s="2" t="s">
        <v>714</v>
      </c>
      <c r="F30" s="2" t="s">
        <v>2673</v>
      </c>
      <c r="G30" s="2" t="s">
        <v>8</v>
      </c>
      <c r="H30" s="2" t="s">
        <v>691</v>
      </c>
      <c r="I30" s="2" t="s">
        <v>15</v>
      </c>
    </row>
    <row r="31" spans="1:9">
      <c r="A31" s="2" t="s">
        <v>2560</v>
      </c>
      <c r="B31" s="2" t="s">
        <v>2674</v>
      </c>
      <c r="C31" s="2" t="s">
        <v>2675</v>
      </c>
      <c r="D31" s="2" t="s">
        <v>2676</v>
      </c>
      <c r="E31" s="2" t="s">
        <v>715</v>
      </c>
      <c r="F31" s="2" t="s">
        <v>2677</v>
      </c>
      <c r="G31" s="2" t="s">
        <v>7</v>
      </c>
      <c r="H31" s="2">
        <v>46</v>
      </c>
      <c r="I31" s="2" t="s">
        <v>15</v>
      </c>
    </row>
    <row r="32" spans="1:9">
      <c r="A32" s="2" t="s">
        <v>2560</v>
      </c>
      <c r="B32" s="2" t="s">
        <v>1567</v>
      </c>
      <c r="C32" s="2" t="s">
        <v>2678</v>
      </c>
      <c r="D32" s="2" t="s">
        <v>2679</v>
      </c>
      <c r="E32" s="2" t="s">
        <v>716</v>
      </c>
      <c r="F32" s="2" t="s">
        <v>2680</v>
      </c>
      <c r="G32" s="2" t="s">
        <v>8</v>
      </c>
      <c r="H32" s="2" t="s">
        <v>179</v>
      </c>
      <c r="I32" s="2" t="s">
        <v>16</v>
      </c>
    </row>
    <row r="33" spans="1:9">
      <c r="A33" s="2" t="s">
        <v>2560</v>
      </c>
      <c r="B33" s="2" t="s">
        <v>2681</v>
      </c>
      <c r="C33" s="2" t="s">
        <v>2682</v>
      </c>
      <c r="D33" s="2" t="s">
        <v>2683</v>
      </c>
      <c r="E33" s="2" t="s">
        <v>713</v>
      </c>
      <c r="F33" s="2" t="s">
        <v>2684</v>
      </c>
      <c r="G33" s="2" t="s">
        <v>7</v>
      </c>
      <c r="H33" s="2" t="s">
        <v>179</v>
      </c>
      <c r="I33" s="2" t="s">
        <v>15</v>
      </c>
    </row>
    <row r="34" spans="1:9">
      <c r="A34" s="2" t="s">
        <v>2560</v>
      </c>
      <c r="B34" s="2" t="s">
        <v>2685</v>
      </c>
      <c r="C34" s="2" t="s">
        <v>2686</v>
      </c>
      <c r="D34" s="2" t="s">
        <v>2596</v>
      </c>
      <c r="E34" s="2" t="s">
        <v>717</v>
      </c>
      <c r="F34" s="2" t="s">
        <v>2687</v>
      </c>
      <c r="G34" s="2" t="s">
        <v>7</v>
      </c>
      <c r="H34" s="2" t="s">
        <v>691</v>
      </c>
      <c r="I34" s="2" t="s">
        <v>23</v>
      </c>
    </row>
    <row r="35" spans="1:9">
      <c r="A35" s="2" t="s">
        <v>2560</v>
      </c>
      <c r="B35" s="2" t="s">
        <v>2688</v>
      </c>
      <c r="C35" s="2" t="s">
        <v>2689</v>
      </c>
      <c r="D35" s="2" t="s">
        <v>2690</v>
      </c>
      <c r="E35" s="2" t="s">
        <v>718</v>
      </c>
      <c r="F35" s="2" t="s">
        <v>2691</v>
      </c>
      <c r="G35" s="2" t="s">
        <v>8</v>
      </c>
      <c r="H35" s="2" t="s">
        <v>695</v>
      </c>
      <c r="I35" s="2" t="s">
        <v>16</v>
      </c>
    </row>
    <row r="36" spans="1:9">
      <c r="A36" s="2" t="s">
        <v>2560</v>
      </c>
      <c r="B36" s="2" t="s">
        <v>2692</v>
      </c>
      <c r="C36" s="2" t="s">
        <v>2693</v>
      </c>
      <c r="D36" s="2" t="s">
        <v>2694</v>
      </c>
      <c r="E36" s="2" t="s">
        <v>719</v>
      </c>
      <c r="F36" s="2" t="s">
        <v>2695</v>
      </c>
      <c r="G36" s="2" t="s">
        <v>8</v>
      </c>
      <c r="H36" s="2" t="s">
        <v>698</v>
      </c>
      <c r="I36" s="2" t="s">
        <v>16</v>
      </c>
    </row>
    <row r="37" spans="1:9">
      <c r="A37" s="2" t="s">
        <v>2560</v>
      </c>
      <c r="B37" s="2" t="s">
        <v>2518</v>
      </c>
      <c r="C37" s="2" t="s">
        <v>2669</v>
      </c>
      <c r="D37" s="2" t="s">
        <v>2696</v>
      </c>
      <c r="E37" s="2" t="s">
        <v>720</v>
      </c>
      <c r="F37" s="2" t="s">
        <v>2697</v>
      </c>
      <c r="G37" s="2" t="s">
        <v>7</v>
      </c>
      <c r="H37" s="2" t="s">
        <v>179</v>
      </c>
      <c r="I37" s="2" t="s">
        <v>15</v>
      </c>
    </row>
    <row r="38" spans="1:9">
      <c r="A38" s="2" t="s">
        <v>2560</v>
      </c>
      <c r="B38" s="2" t="s">
        <v>1356</v>
      </c>
      <c r="C38" s="2" t="s">
        <v>2698</v>
      </c>
      <c r="D38" s="2" t="s">
        <v>2699</v>
      </c>
      <c r="E38" s="2" t="s">
        <v>2700</v>
      </c>
      <c r="F38" s="2" t="s">
        <v>2701</v>
      </c>
      <c r="G38" s="2" t="s">
        <v>8</v>
      </c>
      <c r="H38" s="2" t="s">
        <v>691</v>
      </c>
      <c r="I38" s="2" t="s">
        <v>23</v>
      </c>
    </row>
    <row r="39" spans="1:9">
      <c r="A39" s="2" t="s">
        <v>2560</v>
      </c>
      <c r="B39" s="2" t="s">
        <v>1428</v>
      </c>
      <c r="C39" s="2" t="s">
        <v>2702</v>
      </c>
      <c r="D39" s="2" t="s">
        <v>2703</v>
      </c>
      <c r="E39" s="2" t="s">
        <v>721</v>
      </c>
      <c r="F39" s="2" t="s">
        <v>2704</v>
      </c>
      <c r="G39" s="2" t="s">
        <v>8</v>
      </c>
      <c r="H39" s="2" t="s">
        <v>698</v>
      </c>
      <c r="I39" s="2" t="s">
        <v>710</v>
      </c>
    </row>
    <row r="40" spans="1:9">
      <c r="A40" s="2" t="s">
        <v>2560</v>
      </c>
      <c r="B40" s="2" t="s">
        <v>2496</v>
      </c>
      <c r="C40" s="2" t="s">
        <v>2705</v>
      </c>
      <c r="D40" s="2" t="s">
        <v>2706</v>
      </c>
      <c r="E40" s="2" t="s">
        <v>722</v>
      </c>
      <c r="F40" s="2" t="s">
        <v>2707</v>
      </c>
      <c r="G40" s="2" t="s">
        <v>8</v>
      </c>
      <c r="H40" s="2">
        <v>46</v>
      </c>
      <c r="I40" s="2" t="s">
        <v>18</v>
      </c>
    </row>
    <row r="41" spans="1:9">
      <c r="A41" s="2" t="s">
        <v>2560</v>
      </c>
      <c r="B41" s="2" t="s">
        <v>2213</v>
      </c>
      <c r="C41" s="2" t="s">
        <v>2708</v>
      </c>
      <c r="D41" s="2" t="s">
        <v>2709</v>
      </c>
      <c r="E41" s="2" t="s">
        <v>723</v>
      </c>
      <c r="F41" s="2" t="s">
        <v>2710</v>
      </c>
      <c r="G41" s="2" t="s">
        <v>7</v>
      </c>
      <c r="H41" s="2" t="s">
        <v>698</v>
      </c>
      <c r="I41" s="2" t="s">
        <v>15</v>
      </c>
    </row>
    <row r="42" spans="1:9">
      <c r="A42" s="2" t="s">
        <v>2560</v>
      </c>
      <c r="B42" s="2" t="s">
        <v>2711</v>
      </c>
      <c r="C42" s="2" t="s">
        <v>2712</v>
      </c>
      <c r="D42" s="2" t="s">
        <v>2713</v>
      </c>
      <c r="E42" s="2" t="s">
        <v>2714</v>
      </c>
      <c r="F42" s="2" t="s">
        <v>2715</v>
      </c>
      <c r="G42" s="2" t="s">
        <v>8</v>
      </c>
      <c r="H42" s="2" t="s">
        <v>691</v>
      </c>
      <c r="I42" s="2" t="s">
        <v>23</v>
      </c>
    </row>
    <row r="43" spans="1:9">
      <c r="A43" s="2" t="s">
        <v>2560</v>
      </c>
      <c r="B43" s="2" t="s">
        <v>2459</v>
      </c>
      <c r="C43" s="2" t="s">
        <v>2716</v>
      </c>
      <c r="D43" s="2" t="s">
        <v>2717</v>
      </c>
      <c r="E43" s="2" t="s">
        <v>724</v>
      </c>
      <c r="F43" s="2" t="s">
        <v>2718</v>
      </c>
      <c r="G43" s="2" t="s">
        <v>7</v>
      </c>
      <c r="H43" s="2" t="s">
        <v>179</v>
      </c>
      <c r="I43" s="2" t="s">
        <v>15</v>
      </c>
    </row>
    <row r="44" spans="1:9">
      <c r="A44" s="2" t="s">
        <v>2560</v>
      </c>
      <c r="B44" s="2" t="s">
        <v>1770</v>
      </c>
      <c r="C44" s="2" t="s">
        <v>2629</v>
      </c>
      <c r="D44" s="2" t="s">
        <v>2703</v>
      </c>
      <c r="E44" s="2" t="s">
        <v>725</v>
      </c>
      <c r="F44" s="2" t="s">
        <v>2719</v>
      </c>
      <c r="G44" s="2" t="s">
        <v>7</v>
      </c>
      <c r="H44" s="2" t="s">
        <v>179</v>
      </c>
      <c r="I44" s="2" t="s">
        <v>710</v>
      </c>
    </row>
    <row r="45" spans="1:9">
      <c r="A45" s="2" t="s">
        <v>2560</v>
      </c>
      <c r="B45" s="2" t="s">
        <v>2052</v>
      </c>
      <c r="C45" s="2" t="s">
        <v>2720</v>
      </c>
      <c r="D45" s="2" t="s">
        <v>2721</v>
      </c>
      <c r="E45" s="2" t="s">
        <v>726</v>
      </c>
      <c r="F45" s="2" t="s">
        <v>2722</v>
      </c>
      <c r="G45" s="2" t="s">
        <v>8</v>
      </c>
      <c r="H45" s="2" t="s">
        <v>179</v>
      </c>
      <c r="I45" s="2" t="s">
        <v>18</v>
      </c>
    </row>
    <row r="46" spans="1:9">
      <c r="A46" s="2" t="s">
        <v>2560</v>
      </c>
      <c r="B46" s="2" t="s">
        <v>2723</v>
      </c>
      <c r="C46" s="2" t="s">
        <v>2724</v>
      </c>
      <c r="D46" s="2" t="s">
        <v>2725</v>
      </c>
      <c r="E46" s="2" t="s">
        <v>2726</v>
      </c>
      <c r="F46" s="2" t="s">
        <v>2727</v>
      </c>
      <c r="G46" s="2" t="s">
        <v>7</v>
      </c>
      <c r="H46" s="2" t="s">
        <v>698</v>
      </c>
      <c r="I46" s="2" t="s">
        <v>15</v>
      </c>
    </row>
    <row r="47" spans="1:9">
      <c r="A47" s="2" t="s">
        <v>2560</v>
      </c>
      <c r="B47" s="2" t="s">
        <v>1153</v>
      </c>
      <c r="C47" s="2" t="s">
        <v>2728</v>
      </c>
      <c r="D47" s="2" t="s">
        <v>2729</v>
      </c>
      <c r="E47" s="2" t="s">
        <v>727</v>
      </c>
      <c r="F47" s="2" t="s">
        <v>2730</v>
      </c>
      <c r="G47" s="2" t="s">
        <v>8</v>
      </c>
      <c r="H47" s="2" t="s">
        <v>691</v>
      </c>
      <c r="I47" s="2" t="s">
        <v>23</v>
      </c>
    </row>
    <row r="48" spans="1:9">
      <c r="A48" s="2" t="s">
        <v>2560</v>
      </c>
      <c r="B48" s="2" t="s">
        <v>2731</v>
      </c>
      <c r="C48" s="2" t="s">
        <v>2732</v>
      </c>
      <c r="D48" s="2" t="s">
        <v>2733</v>
      </c>
      <c r="E48" s="2" t="s">
        <v>728</v>
      </c>
      <c r="F48" s="2" t="s">
        <v>2734</v>
      </c>
      <c r="G48" s="2" t="s">
        <v>8</v>
      </c>
      <c r="H48" s="2">
        <v>46</v>
      </c>
      <c r="I48" s="2" t="s">
        <v>729</v>
      </c>
    </row>
    <row r="49" spans="1:9">
      <c r="A49" s="2" t="s">
        <v>2560</v>
      </c>
      <c r="B49" s="2" t="s">
        <v>903</v>
      </c>
      <c r="C49" s="2" t="s">
        <v>2735</v>
      </c>
      <c r="D49" s="2" t="s">
        <v>2736</v>
      </c>
      <c r="E49" s="2" t="s">
        <v>730</v>
      </c>
      <c r="F49" s="2" t="s">
        <v>2737</v>
      </c>
      <c r="G49" s="2" t="s">
        <v>8</v>
      </c>
      <c r="H49" s="2">
        <v>46</v>
      </c>
      <c r="I49" s="2" t="s">
        <v>18</v>
      </c>
    </row>
    <row r="50" spans="1:9">
      <c r="A50" s="2" t="s">
        <v>2560</v>
      </c>
      <c r="B50" s="2" t="s">
        <v>2522</v>
      </c>
      <c r="C50" s="2" t="s">
        <v>2669</v>
      </c>
      <c r="D50" s="2" t="s">
        <v>2738</v>
      </c>
      <c r="E50" s="2" t="s">
        <v>731</v>
      </c>
      <c r="F50" s="2" t="s">
        <v>2739</v>
      </c>
      <c r="G50" s="2" t="s">
        <v>7</v>
      </c>
      <c r="H50" s="2" t="s">
        <v>695</v>
      </c>
      <c r="I50" s="2" t="s">
        <v>15</v>
      </c>
    </row>
    <row r="51" spans="1:9">
      <c r="A51" s="2" t="s">
        <v>2560</v>
      </c>
      <c r="B51" s="2" t="s">
        <v>2740</v>
      </c>
      <c r="C51" s="2" t="s">
        <v>2741</v>
      </c>
      <c r="D51" s="2" t="s">
        <v>2742</v>
      </c>
      <c r="E51" s="2" t="s">
        <v>732</v>
      </c>
      <c r="F51" s="2" t="s">
        <v>2743</v>
      </c>
      <c r="G51" s="2" t="s">
        <v>7</v>
      </c>
      <c r="H51" s="2" t="s">
        <v>691</v>
      </c>
      <c r="I51" s="2" t="s">
        <v>16</v>
      </c>
    </row>
    <row r="52" spans="1:9">
      <c r="A52" s="2" t="s">
        <v>2560</v>
      </c>
      <c r="B52" s="2" t="s">
        <v>2744</v>
      </c>
      <c r="C52" s="2" t="s">
        <v>2745</v>
      </c>
      <c r="D52" s="2" t="s">
        <v>2746</v>
      </c>
      <c r="E52" s="2" t="s">
        <v>269</v>
      </c>
      <c r="F52" s="2" t="s">
        <v>2747</v>
      </c>
      <c r="G52" s="2" t="s">
        <v>7</v>
      </c>
      <c r="H52" s="2" t="s">
        <v>698</v>
      </c>
      <c r="I52" s="2" t="s">
        <v>15</v>
      </c>
    </row>
    <row r="53" spans="1:9">
      <c r="A53" s="2" t="s">
        <v>2560</v>
      </c>
      <c r="B53" s="2" t="s">
        <v>2388</v>
      </c>
      <c r="C53" s="2" t="s">
        <v>2748</v>
      </c>
      <c r="D53" s="2" t="s">
        <v>2749</v>
      </c>
      <c r="E53" s="2" t="s">
        <v>733</v>
      </c>
      <c r="F53" s="2" t="s">
        <v>2750</v>
      </c>
      <c r="G53" s="2" t="s">
        <v>7</v>
      </c>
      <c r="H53" s="2">
        <v>46</v>
      </c>
      <c r="I53" s="2" t="s">
        <v>15</v>
      </c>
    </row>
    <row r="54" spans="1:9">
      <c r="A54" s="2" t="s">
        <v>2560</v>
      </c>
      <c r="B54" s="2" t="s">
        <v>2751</v>
      </c>
      <c r="C54" s="2" t="s">
        <v>2752</v>
      </c>
      <c r="D54" s="2" t="s">
        <v>2753</v>
      </c>
      <c r="E54" s="2" t="s">
        <v>734</v>
      </c>
      <c r="F54" s="2" t="s">
        <v>2754</v>
      </c>
      <c r="G54" s="2" t="s">
        <v>8</v>
      </c>
      <c r="H54" s="2" t="s">
        <v>695</v>
      </c>
      <c r="I54" s="2" t="s">
        <v>710</v>
      </c>
    </row>
    <row r="55" spans="1:9">
      <c r="A55" s="2" t="s">
        <v>2560</v>
      </c>
      <c r="B55" s="2" t="s">
        <v>2755</v>
      </c>
      <c r="C55" s="2" t="s">
        <v>2705</v>
      </c>
      <c r="D55" s="2" t="s">
        <v>2756</v>
      </c>
      <c r="E55" s="2" t="s">
        <v>716</v>
      </c>
      <c r="F55" s="2" t="s">
        <v>2757</v>
      </c>
      <c r="G55" s="2" t="s">
        <v>8</v>
      </c>
      <c r="H55" s="2" t="s">
        <v>179</v>
      </c>
      <c r="I55" s="2" t="s">
        <v>16</v>
      </c>
    </row>
    <row r="56" spans="1:9">
      <c r="A56" s="2" t="s">
        <v>2560</v>
      </c>
      <c r="B56" s="2" t="s">
        <v>2762</v>
      </c>
      <c r="C56" s="2" t="s">
        <v>2763</v>
      </c>
      <c r="D56" s="2" t="s">
        <v>2566</v>
      </c>
      <c r="E56" s="2" t="s">
        <v>2585</v>
      </c>
      <c r="F56" s="2" t="s">
        <v>2764</v>
      </c>
      <c r="G56" s="2" t="s">
        <v>7</v>
      </c>
      <c r="H56" s="2" t="s">
        <v>179</v>
      </c>
      <c r="I56" s="2" t="s">
        <v>15</v>
      </c>
    </row>
    <row r="57" spans="1:9">
      <c r="A57" s="2" t="s">
        <v>2560</v>
      </c>
      <c r="B57" s="2" t="s">
        <v>2765</v>
      </c>
      <c r="C57" s="2" t="s">
        <v>2766</v>
      </c>
      <c r="D57" s="2" t="s">
        <v>2767</v>
      </c>
      <c r="E57" s="2" t="s">
        <v>2768</v>
      </c>
      <c r="F57" s="2" t="s">
        <v>2769</v>
      </c>
      <c r="G57" s="2" t="s">
        <v>8</v>
      </c>
      <c r="H57" s="2" t="s">
        <v>695</v>
      </c>
      <c r="I57" s="2" t="s">
        <v>700</v>
      </c>
    </row>
    <row r="58" spans="1:9">
      <c r="A58" s="2" t="s">
        <v>2560</v>
      </c>
      <c r="B58" s="2" t="s">
        <v>2770</v>
      </c>
      <c r="C58" s="2" t="s">
        <v>2771</v>
      </c>
      <c r="D58" s="2" t="s">
        <v>2772</v>
      </c>
      <c r="E58" s="2" t="s">
        <v>735</v>
      </c>
      <c r="F58" s="2" t="s">
        <v>2773</v>
      </c>
      <c r="G58" s="2" t="s">
        <v>8</v>
      </c>
      <c r="H58" s="2">
        <v>46</v>
      </c>
      <c r="I58" s="2" t="s">
        <v>23</v>
      </c>
    </row>
    <row r="59" spans="1:9">
      <c r="A59" s="2" t="s">
        <v>2560</v>
      </c>
      <c r="B59" s="2" t="s">
        <v>2774</v>
      </c>
      <c r="C59" s="2" t="s">
        <v>2775</v>
      </c>
      <c r="D59" s="2" t="s">
        <v>2776</v>
      </c>
      <c r="E59" s="2" t="s">
        <v>808</v>
      </c>
      <c r="F59" s="2" t="s">
        <v>2777</v>
      </c>
      <c r="G59" s="2" t="s">
        <v>8</v>
      </c>
      <c r="H59" s="2" t="s">
        <v>695</v>
      </c>
      <c r="I59" s="2" t="s">
        <v>15</v>
      </c>
    </row>
    <row r="60" spans="1:9">
      <c r="A60" s="2" t="s">
        <v>2560</v>
      </c>
      <c r="B60" s="2" t="s">
        <v>2491</v>
      </c>
      <c r="C60" s="2" t="s">
        <v>2778</v>
      </c>
      <c r="D60" s="2" t="s">
        <v>2779</v>
      </c>
      <c r="E60" s="2" t="s">
        <v>736</v>
      </c>
      <c r="F60" s="2" t="s">
        <v>2780</v>
      </c>
      <c r="G60" s="2" t="s">
        <v>8</v>
      </c>
      <c r="H60" s="2" t="s">
        <v>695</v>
      </c>
      <c r="I60" s="2" t="s">
        <v>25</v>
      </c>
    </row>
    <row r="61" spans="1:9">
      <c r="A61" s="2" t="s">
        <v>2560</v>
      </c>
      <c r="B61" s="2" t="s">
        <v>1966</v>
      </c>
      <c r="C61" s="2" t="s">
        <v>2781</v>
      </c>
      <c r="D61" s="2" t="s">
        <v>2782</v>
      </c>
      <c r="E61" s="2" t="s">
        <v>737</v>
      </c>
      <c r="F61" s="2" t="s">
        <v>2783</v>
      </c>
      <c r="G61" s="2" t="s">
        <v>8</v>
      </c>
      <c r="H61" s="2" t="s">
        <v>698</v>
      </c>
      <c r="I61" s="2" t="s">
        <v>700</v>
      </c>
    </row>
    <row r="62" spans="1:9">
      <c r="A62" s="2" t="s">
        <v>2560</v>
      </c>
      <c r="B62" s="2" t="s">
        <v>1913</v>
      </c>
      <c r="C62" s="2" t="s">
        <v>2784</v>
      </c>
      <c r="D62" s="2" t="s">
        <v>2784</v>
      </c>
      <c r="E62" s="2" t="s">
        <v>738</v>
      </c>
      <c r="F62" s="2" t="s">
        <v>2785</v>
      </c>
      <c r="G62" s="2" t="s">
        <v>8</v>
      </c>
      <c r="H62" s="2" t="s">
        <v>691</v>
      </c>
      <c r="I62" s="2" t="s">
        <v>700</v>
      </c>
    </row>
    <row r="63" spans="1:9">
      <c r="A63" s="2" t="s">
        <v>2560</v>
      </c>
      <c r="B63" s="2" t="s">
        <v>2786</v>
      </c>
      <c r="C63" s="2" t="s">
        <v>2787</v>
      </c>
      <c r="D63" s="2" t="s">
        <v>2788</v>
      </c>
      <c r="E63" s="2" t="s">
        <v>739</v>
      </c>
      <c r="F63" s="2" t="s">
        <v>2789</v>
      </c>
      <c r="G63" s="2" t="s">
        <v>7</v>
      </c>
      <c r="H63" s="2" t="s">
        <v>179</v>
      </c>
      <c r="I63" s="2" t="s">
        <v>740</v>
      </c>
    </row>
    <row r="64" spans="1:9">
      <c r="A64" s="2" t="s">
        <v>2560</v>
      </c>
      <c r="B64" s="2" t="s">
        <v>2790</v>
      </c>
      <c r="C64" s="2" t="s">
        <v>2791</v>
      </c>
      <c r="D64" s="2" t="s">
        <v>2792</v>
      </c>
      <c r="E64" s="2" t="s">
        <v>741</v>
      </c>
      <c r="F64" s="2" t="s">
        <v>2793</v>
      </c>
      <c r="G64" s="2" t="s">
        <v>8</v>
      </c>
      <c r="H64" s="2" t="s">
        <v>695</v>
      </c>
      <c r="I64" s="2" t="s">
        <v>18</v>
      </c>
    </row>
    <row r="65" spans="1:9">
      <c r="A65" s="2" t="s">
        <v>2560</v>
      </c>
      <c r="B65" s="2" t="s">
        <v>2794</v>
      </c>
      <c r="C65" s="2" t="s">
        <v>2795</v>
      </c>
      <c r="D65" s="2" t="s">
        <v>2796</v>
      </c>
      <c r="E65" s="2" t="s">
        <v>2797</v>
      </c>
      <c r="F65" s="2" t="s">
        <v>2798</v>
      </c>
      <c r="G65" s="2" t="s">
        <v>8</v>
      </c>
      <c r="H65" s="2" t="s">
        <v>698</v>
      </c>
      <c r="I65" s="2" t="s">
        <v>16</v>
      </c>
    </row>
    <row r="66" spans="1:9">
      <c r="A66" s="2" t="s">
        <v>2560</v>
      </c>
      <c r="B66" s="2" t="s">
        <v>2799</v>
      </c>
      <c r="C66" s="2" t="s">
        <v>2745</v>
      </c>
      <c r="D66" s="2" t="s">
        <v>2800</v>
      </c>
      <c r="E66" s="2" t="s">
        <v>742</v>
      </c>
      <c r="F66" s="2" t="s">
        <v>2801</v>
      </c>
      <c r="G66" s="2" t="s">
        <v>7</v>
      </c>
      <c r="H66" s="2" t="s">
        <v>695</v>
      </c>
      <c r="I66" s="2" t="s">
        <v>15</v>
      </c>
    </row>
    <row r="67" spans="1:9">
      <c r="A67" s="2" t="s">
        <v>2560</v>
      </c>
      <c r="B67" s="2" t="s">
        <v>2807</v>
      </c>
      <c r="C67" s="2" t="s">
        <v>2808</v>
      </c>
      <c r="D67" s="2" t="s">
        <v>2809</v>
      </c>
      <c r="E67" s="2" t="s">
        <v>809</v>
      </c>
      <c r="F67" s="2" t="s">
        <v>2810</v>
      </c>
      <c r="G67" s="2" t="s">
        <v>7</v>
      </c>
      <c r="H67" s="2">
        <v>46</v>
      </c>
      <c r="I67" s="2" t="s">
        <v>15</v>
      </c>
    </row>
    <row r="68" spans="1:9">
      <c r="A68" s="2" t="s">
        <v>2560</v>
      </c>
      <c r="B68" s="2" t="s">
        <v>2811</v>
      </c>
      <c r="C68" s="2" t="s">
        <v>2812</v>
      </c>
      <c r="D68" s="2" t="s">
        <v>2813</v>
      </c>
      <c r="E68" s="2" t="s">
        <v>2814</v>
      </c>
      <c r="F68" s="2" t="s">
        <v>2815</v>
      </c>
      <c r="G68" s="2" t="s">
        <v>8</v>
      </c>
      <c r="H68" s="2" t="s">
        <v>698</v>
      </c>
      <c r="I68" s="2" t="s">
        <v>770</v>
      </c>
    </row>
    <row r="69" spans="1:9">
      <c r="A69" s="2" t="s">
        <v>2560</v>
      </c>
      <c r="B69" s="2" t="s">
        <v>2816</v>
      </c>
      <c r="C69" s="2" t="s">
        <v>2817</v>
      </c>
      <c r="D69" s="2" t="s">
        <v>2818</v>
      </c>
      <c r="E69" s="2" t="s">
        <v>743</v>
      </c>
      <c r="F69" s="2" t="s">
        <v>2783</v>
      </c>
      <c r="G69" s="2" t="s">
        <v>8</v>
      </c>
      <c r="H69" s="2" t="s">
        <v>698</v>
      </c>
      <c r="I69" s="2" t="s">
        <v>700</v>
      </c>
    </row>
    <row r="70" spans="1:9">
      <c r="A70" s="2" t="s">
        <v>2560</v>
      </c>
      <c r="B70" s="2" t="s">
        <v>2819</v>
      </c>
      <c r="C70" s="2" t="s">
        <v>2820</v>
      </c>
      <c r="D70" s="2" t="s">
        <v>2651</v>
      </c>
      <c r="E70" s="2" t="s">
        <v>2821</v>
      </c>
      <c r="F70" s="2" t="s">
        <v>2822</v>
      </c>
      <c r="G70" s="2" t="s">
        <v>8</v>
      </c>
      <c r="H70" s="2" t="s">
        <v>691</v>
      </c>
      <c r="I70" s="2" t="s">
        <v>700</v>
      </c>
    </row>
    <row r="71" spans="1:9">
      <c r="A71" s="2" t="s">
        <v>2560</v>
      </c>
      <c r="B71" s="2" t="s">
        <v>2823</v>
      </c>
      <c r="C71" s="2" t="s">
        <v>2824</v>
      </c>
      <c r="D71" s="2" t="s">
        <v>2825</v>
      </c>
      <c r="E71" s="2" t="s">
        <v>744</v>
      </c>
      <c r="F71" s="2" t="s">
        <v>2826</v>
      </c>
      <c r="G71" s="2" t="s">
        <v>8</v>
      </c>
      <c r="H71" s="2" t="s">
        <v>698</v>
      </c>
      <c r="I71" s="2" t="s">
        <v>712</v>
      </c>
    </row>
    <row r="72" spans="1:9">
      <c r="A72" s="2" t="s">
        <v>2560</v>
      </c>
      <c r="B72" s="2" t="s">
        <v>2827</v>
      </c>
      <c r="C72" s="2" t="s">
        <v>2828</v>
      </c>
      <c r="D72" s="2" t="s">
        <v>2829</v>
      </c>
      <c r="E72" s="2" t="s">
        <v>724</v>
      </c>
      <c r="F72" s="2" t="s">
        <v>2830</v>
      </c>
      <c r="G72" s="2" t="s">
        <v>8</v>
      </c>
      <c r="H72" s="2" t="s">
        <v>179</v>
      </c>
      <c r="I72" s="2" t="s">
        <v>15</v>
      </c>
    </row>
    <row r="73" spans="1:9">
      <c r="A73" s="2" t="s">
        <v>2560</v>
      </c>
      <c r="B73" s="2" t="s">
        <v>2831</v>
      </c>
      <c r="C73" s="2" t="s">
        <v>2832</v>
      </c>
      <c r="D73" s="2" t="s">
        <v>2833</v>
      </c>
      <c r="E73" s="2" t="s">
        <v>745</v>
      </c>
      <c r="F73" s="2" t="s">
        <v>2834</v>
      </c>
      <c r="G73" s="2" t="s">
        <v>7</v>
      </c>
      <c r="H73" s="2" t="s">
        <v>698</v>
      </c>
      <c r="I73" s="2" t="s">
        <v>712</v>
      </c>
    </row>
    <row r="74" spans="1:9">
      <c r="A74" s="2" t="s">
        <v>2560</v>
      </c>
      <c r="B74" s="2" t="s">
        <v>1416</v>
      </c>
      <c r="C74" s="2" t="s">
        <v>2626</v>
      </c>
      <c r="D74" s="2" t="s">
        <v>2835</v>
      </c>
      <c r="E74" s="2" t="s">
        <v>746</v>
      </c>
      <c r="F74" s="2" t="s">
        <v>2836</v>
      </c>
      <c r="G74" s="2" t="s">
        <v>7</v>
      </c>
      <c r="H74" s="2" t="s">
        <v>698</v>
      </c>
      <c r="I74" s="2" t="s">
        <v>710</v>
      </c>
    </row>
    <row r="75" spans="1:9">
      <c r="A75" s="2" t="s">
        <v>2560</v>
      </c>
      <c r="B75" s="2" t="s">
        <v>976</v>
      </c>
      <c r="C75" s="2" t="s">
        <v>2837</v>
      </c>
      <c r="D75" s="2" t="s">
        <v>2838</v>
      </c>
      <c r="E75" s="2" t="s">
        <v>747</v>
      </c>
      <c r="F75" s="2" t="s">
        <v>2839</v>
      </c>
      <c r="G75" s="2" t="s">
        <v>7</v>
      </c>
      <c r="H75" s="2" t="s">
        <v>179</v>
      </c>
      <c r="I75" s="2" t="s">
        <v>16</v>
      </c>
    </row>
    <row r="76" spans="1:9">
      <c r="A76" s="2" t="s">
        <v>2560</v>
      </c>
      <c r="B76" s="2" t="s">
        <v>2840</v>
      </c>
      <c r="C76" s="2" t="s">
        <v>2841</v>
      </c>
      <c r="D76" s="2" t="s">
        <v>2842</v>
      </c>
      <c r="E76" s="2" t="s">
        <v>809</v>
      </c>
      <c r="F76" s="2" t="s">
        <v>2843</v>
      </c>
      <c r="G76" s="2" t="s">
        <v>8</v>
      </c>
      <c r="H76" s="2">
        <v>46</v>
      </c>
      <c r="I76" s="2" t="s">
        <v>15</v>
      </c>
    </row>
    <row r="77" spans="1:9">
      <c r="A77" s="2" t="s">
        <v>2560</v>
      </c>
      <c r="B77" s="2" t="s">
        <v>2844</v>
      </c>
      <c r="C77" s="2" t="s">
        <v>2845</v>
      </c>
      <c r="D77" s="2" t="s">
        <v>2846</v>
      </c>
      <c r="E77" s="2" t="s">
        <v>748</v>
      </c>
      <c r="F77" s="2" t="s">
        <v>2847</v>
      </c>
      <c r="G77" s="2" t="s">
        <v>7</v>
      </c>
      <c r="H77" s="2" t="s">
        <v>691</v>
      </c>
      <c r="I77" s="2" t="s">
        <v>712</v>
      </c>
    </row>
    <row r="78" spans="1:9">
      <c r="A78" s="2" t="s">
        <v>2560</v>
      </c>
      <c r="B78" s="2" t="s">
        <v>2848</v>
      </c>
      <c r="C78" s="2" t="s">
        <v>2849</v>
      </c>
      <c r="D78" s="2" t="s">
        <v>2850</v>
      </c>
      <c r="E78" s="2" t="s">
        <v>749</v>
      </c>
      <c r="F78" s="2" t="s">
        <v>2851</v>
      </c>
      <c r="G78" s="2" t="s">
        <v>7</v>
      </c>
      <c r="H78" s="2">
        <v>46</v>
      </c>
      <c r="I78" s="2" t="s">
        <v>18</v>
      </c>
    </row>
    <row r="79" spans="1:9">
      <c r="A79" s="2" t="s">
        <v>2560</v>
      </c>
      <c r="B79" s="2" t="s">
        <v>2852</v>
      </c>
      <c r="C79" s="2" t="s">
        <v>2853</v>
      </c>
      <c r="D79" s="2" t="s">
        <v>2854</v>
      </c>
      <c r="E79" s="2" t="s">
        <v>750</v>
      </c>
      <c r="F79" s="2" t="s">
        <v>2855</v>
      </c>
      <c r="G79" s="2" t="s">
        <v>8</v>
      </c>
      <c r="H79" s="2">
        <v>46</v>
      </c>
      <c r="I79" s="2" t="s">
        <v>710</v>
      </c>
    </row>
    <row r="80" spans="1:9">
      <c r="A80" s="2" t="s">
        <v>2560</v>
      </c>
      <c r="B80" s="2" t="s">
        <v>2856</v>
      </c>
      <c r="C80" s="2" t="s">
        <v>2857</v>
      </c>
      <c r="D80" s="2" t="s">
        <v>2858</v>
      </c>
      <c r="E80" s="2" t="s">
        <v>751</v>
      </c>
      <c r="F80" s="2" t="s">
        <v>2859</v>
      </c>
      <c r="G80" s="2" t="s">
        <v>8</v>
      </c>
      <c r="H80" s="2" t="s">
        <v>691</v>
      </c>
      <c r="I80" s="2" t="s">
        <v>23</v>
      </c>
    </row>
    <row r="81" spans="1:9">
      <c r="A81" s="2" t="s">
        <v>2560</v>
      </c>
      <c r="B81" s="2" t="s">
        <v>2860</v>
      </c>
      <c r="C81" s="2" t="s">
        <v>2861</v>
      </c>
      <c r="D81" s="2" t="s">
        <v>2862</v>
      </c>
      <c r="E81" s="2" t="s">
        <v>752</v>
      </c>
      <c r="F81" s="2" t="s">
        <v>2863</v>
      </c>
      <c r="G81" s="2" t="s">
        <v>8</v>
      </c>
      <c r="H81" s="2" t="s">
        <v>698</v>
      </c>
      <c r="I81" s="2" t="s">
        <v>16</v>
      </c>
    </row>
    <row r="82" spans="1:9">
      <c r="A82" s="2" t="s">
        <v>2560</v>
      </c>
      <c r="B82" s="2" t="s">
        <v>2864</v>
      </c>
      <c r="C82" s="2" t="s">
        <v>2865</v>
      </c>
      <c r="D82" s="2" t="s">
        <v>2682</v>
      </c>
      <c r="E82" s="2" t="s">
        <v>2866</v>
      </c>
      <c r="F82" s="2" t="s">
        <v>2867</v>
      </c>
      <c r="G82" s="2" t="s">
        <v>8</v>
      </c>
      <c r="H82" s="2">
        <v>46</v>
      </c>
      <c r="I82" s="2" t="s">
        <v>16</v>
      </c>
    </row>
    <row r="83" spans="1:9">
      <c r="A83" s="2" t="s">
        <v>2560</v>
      </c>
      <c r="B83" s="2" t="s">
        <v>1135</v>
      </c>
      <c r="C83" s="2" t="s">
        <v>2868</v>
      </c>
      <c r="D83" s="2" t="s">
        <v>2869</v>
      </c>
      <c r="E83" s="2" t="s">
        <v>1132</v>
      </c>
      <c r="F83" s="2" t="s">
        <v>2870</v>
      </c>
      <c r="G83" s="2" t="s">
        <v>8</v>
      </c>
      <c r="H83" s="2" t="s">
        <v>691</v>
      </c>
      <c r="I83" s="2" t="s">
        <v>700</v>
      </c>
    </row>
    <row r="84" spans="1:9">
      <c r="A84" s="2" t="s">
        <v>2560</v>
      </c>
      <c r="B84" s="2" t="s">
        <v>2871</v>
      </c>
      <c r="C84" s="2" t="s">
        <v>2872</v>
      </c>
      <c r="D84" s="2" t="s">
        <v>2873</v>
      </c>
      <c r="E84" s="2" t="s">
        <v>117</v>
      </c>
      <c r="F84" s="2" t="s">
        <v>2874</v>
      </c>
      <c r="G84" s="2" t="s">
        <v>7</v>
      </c>
      <c r="H84" s="2" t="s">
        <v>695</v>
      </c>
      <c r="I84" s="2" t="s">
        <v>16</v>
      </c>
    </row>
    <row r="85" spans="1:9">
      <c r="A85" s="2" t="s">
        <v>2560</v>
      </c>
      <c r="B85" s="2" t="s">
        <v>2875</v>
      </c>
      <c r="C85" s="2" t="s">
        <v>2876</v>
      </c>
      <c r="D85" s="2" t="s">
        <v>2877</v>
      </c>
      <c r="E85" s="2" t="s">
        <v>2878</v>
      </c>
      <c r="F85" s="2" t="s">
        <v>2879</v>
      </c>
      <c r="G85" s="2" t="s">
        <v>7</v>
      </c>
      <c r="H85" s="2" t="s">
        <v>695</v>
      </c>
      <c r="I85" s="2" t="s">
        <v>16</v>
      </c>
    </row>
    <row r="86" spans="1:9">
      <c r="A86" s="2" t="s">
        <v>2560</v>
      </c>
      <c r="B86" s="2" t="s">
        <v>1113</v>
      </c>
      <c r="C86" s="2" t="s">
        <v>2880</v>
      </c>
      <c r="D86" s="2" t="s">
        <v>2881</v>
      </c>
      <c r="E86" s="2" t="s">
        <v>2882</v>
      </c>
      <c r="F86" s="2" t="s">
        <v>2883</v>
      </c>
      <c r="G86" s="2" t="s">
        <v>8</v>
      </c>
      <c r="H86" s="2" t="s">
        <v>691</v>
      </c>
      <c r="I86" s="2" t="s">
        <v>23</v>
      </c>
    </row>
    <row r="87" spans="1:9">
      <c r="A87" s="2" t="s">
        <v>2560</v>
      </c>
      <c r="B87" s="2" t="s">
        <v>948</v>
      </c>
      <c r="C87" s="2" t="s">
        <v>2884</v>
      </c>
      <c r="D87" s="2" t="s">
        <v>2885</v>
      </c>
      <c r="E87" s="2" t="s">
        <v>2886</v>
      </c>
      <c r="F87" s="2" t="s">
        <v>2887</v>
      </c>
      <c r="G87" s="2" t="s">
        <v>7</v>
      </c>
      <c r="H87" s="2" t="s">
        <v>695</v>
      </c>
      <c r="I87" s="2" t="s">
        <v>16</v>
      </c>
    </row>
    <row r="88" spans="1:9">
      <c r="A88" s="2" t="s">
        <v>2560</v>
      </c>
      <c r="B88" s="2" t="s">
        <v>2892</v>
      </c>
      <c r="C88" s="2" t="s">
        <v>2893</v>
      </c>
      <c r="D88" s="2" t="s">
        <v>2894</v>
      </c>
      <c r="E88" s="2" t="s">
        <v>753</v>
      </c>
      <c r="F88" s="2" t="s">
        <v>2895</v>
      </c>
      <c r="G88" s="2" t="s">
        <v>7</v>
      </c>
      <c r="H88" s="2" t="s">
        <v>691</v>
      </c>
      <c r="I88" s="2" t="s">
        <v>23</v>
      </c>
    </row>
    <row r="89" spans="1:9">
      <c r="A89" s="2" t="s">
        <v>2560</v>
      </c>
      <c r="B89" s="2" t="s">
        <v>2896</v>
      </c>
      <c r="C89" s="2" t="s">
        <v>2897</v>
      </c>
      <c r="D89" s="2" t="s">
        <v>2898</v>
      </c>
      <c r="E89" s="2" t="s">
        <v>137</v>
      </c>
      <c r="F89" s="2" t="s">
        <v>2899</v>
      </c>
      <c r="G89" s="2" t="s">
        <v>7</v>
      </c>
      <c r="H89" s="2" t="s">
        <v>691</v>
      </c>
      <c r="I89" s="2" t="s">
        <v>16</v>
      </c>
    </row>
    <row r="90" spans="1:9">
      <c r="A90" s="2" t="s">
        <v>2560</v>
      </c>
      <c r="B90" s="2" t="s">
        <v>2900</v>
      </c>
      <c r="C90" s="2" t="s">
        <v>2901</v>
      </c>
      <c r="D90" s="2" t="s">
        <v>2902</v>
      </c>
      <c r="E90" s="2" t="s">
        <v>2903</v>
      </c>
      <c r="F90" s="2" t="s">
        <v>2904</v>
      </c>
      <c r="G90" s="2" t="s">
        <v>8</v>
      </c>
      <c r="H90" s="2">
        <v>46</v>
      </c>
      <c r="I90" s="2" t="s">
        <v>729</v>
      </c>
    </row>
    <row r="91" spans="1:9">
      <c r="A91" s="2" t="s">
        <v>2560</v>
      </c>
      <c r="B91" s="2" t="s">
        <v>2905</v>
      </c>
      <c r="C91" s="2" t="s">
        <v>2906</v>
      </c>
      <c r="D91" s="2" t="s">
        <v>2907</v>
      </c>
      <c r="E91" s="2" t="s">
        <v>137</v>
      </c>
      <c r="F91" s="2" t="s">
        <v>2908</v>
      </c>
      <c r="G91" s="2" t="s">
        <v>8</v>
      </c>
      <c r="H91" s="2" t="s">
        <v>691</v>
      </c>
      <c r="I91" s="2" t="s">
        <v>15</v>
      </c>
    </row>
    <row r="92" spans="1:9">
      <c r="A92" s="2" t="s">
        <v>2560</v>
      </c>
      <c r="B92" s="2" t="s">
        <v>2909</v>
      </c>
      <c r="C92" s="2" t="s">
        <v>2910</v>
      </c>
      <c r="D92" s="2" t="s">
        <v>2911</v>
      </c>
      <c r="E92" s="2" t="s">
        <v>2912</v>
      </c>
      <c r="F92" s="2" t="s">
        <v>2913</v>
      </c>
      <c r="G92" s="2" t="s">
        <v>8</v>
      </c>
      <c r="H92" s="2" t="s">
        <v>695</v>
      </c>
      <c r="I92" s="2" t="s">
        <v>770</v>
      </c>
    </row>
    <row r="93" spans="1:9">
      <c r="A93" s="2" t="s">
        <v>2560</v>
      </c>
      <c r="B93" s="2" t="s">
        <v>2914</v>
      </c>
      <c r="C93" s="2" t="s">
        <v>2915</v>
      </c>
      <c r="D93" s="2" t="s">
        <v>2916</v>
      </c>
      <c r="E93" s="2" t="s">
        <v>754</v>
      </c>
      <c r="F93" s="2" t="s">
        <v>2917</v>
      </c>
      <c r="G93" s="2" t="s">
        <v>8</v>
      </c>
      <c r="H93" s="2" t="s">
        <v>695</v>
      </c>
      <c r="I93" s="2" t="s">
        <v>16</v>
      </c>
    </row>
    <row r="94" spans="1:9">
      <c r="A94" s="2" t="s">
        <v>2560</v>
      </c>
      <c r="B94" s="2" t="s">
        <v>2918</v>
      </c>
      <c r="C94" s="2" t="s">
        <v>2919</v>
      </c>
      <c r="D94" s="2" t="s">
        <v>2920</v>
      </c>
      <c r="E94" s="2" t="s">
        <v>2921</v>
      </c>
      <c r="F94" s="2" t="s">
        <v>2922</v>
      </c>
      <c r="G94" s="2" t="s">
        <v>7</v>
      </c>
      <c r="H94" s="2" t="s">
        <v>695</v>
      </c>
      <c r="I94" s="2" t="s">
        <v>18</v>
      </c>
    </row>
    <row r="95" spans="1:9">
      <c r="A95" s="2" t="s">
        <v>2560</v>
      </c>
      <c r="B95" s="2" t="s">
        <v>2923</v>
      </c>
      <c r="C95" s="2" t="s">
        <v>2924</v>
      </c>
      <c r="D95" s="2" t="s">
        <v>2772</v>
      </c>
      <c r="E95" s="2" t="s">
        <v>2925</v>
      </c>
      <c r="F95" s="2" t="s">
        <v>2926</v>
      </c>
      <c r="G95" s="2" t="s">
        <v>8</v>
      </c>
      <c r="H95" s="2">
        <v>46</v>
      </c>
      <c r="I95" s="2" t="s">
        <v>23</v>
      </c>
    </row>
    <row r="96" spans="1:9">
      <c r="A96" s="2" t="s">
        <v>2560</v>
      </c>
      <c r="B96" s="2" t="s">
        <v>2927</v>
      </c>
      <c r="C96" s="2" t="s">
        <v>2928</v>
      </c>
      <c r="D96" s="2" t="s">
        <v>2929</v>
      </c>
      <c r="E96" s="2" t="s">
        <v>755</v>
      </c>
      <c r="F96" s="2" t="s">
        <v>2930</v>
      </c>
      <c r="G96" s="2" t="s">
        <v>8</v>
      </c>
      <c r="H96" s="2" t="s">
        <v>691</v>
      </c>
      <c r="I96" s="2" t="s">
        <v>23</v>
      </c>
    </row>
    <row r="97" spans="1:9">
      <c r="A97" s="2" t="s">
        <v>2560</v>
      </c>
      <c r="B97" s="2" t="s">
        <v>2931</v>
      </c>
      <c r="C97" s="2" t="s">
        <v>2932</v>
      </c>
      <c r="D97" s="2" t="s">
        <v>2933</v>
      </c>
      <c r="E97" s="2" t="s">
        <v>756</v>
      </c>
      <c r="F97" s="2" t="s">
        <v>2934</v>
      </c>
      <c r="G97" s="2" t="s">
        <v>8</v>
      </c>
      <c r="H97" s="2" t="s">
        <v>698</v>
      </c>
      <c r="I97" s="2" t="s">
        <v>710</v>
      </c>
    </row>
    <row r="98" spans="1:9">
      <c r="A98" s="2" t="s">
        <v>2560</v>
      </c>
      <c r="B98" s="2" t="s">
        <v>1146</v>
      </c>
      <c r="C98" s="2" t="s">
        <v>2940</v>
      </c>
      <c r="D98" s="2" t="s">
        <v>2941</v>
      </c>
      <c r="E98" s="2" t="s">
        <v>757</v>
      </c>
      <c r="F98" s="2" t="s">
        <v>2942</v>
      </c>
      <c r="G98" s="2" t="s">
        <v>8</v>
      </c>
      <c r="H98" s="2" t="s">
        <v>695</v>
      </c>
      <c r="I98" s="2" t="s">
        <v>23</v>
      </c>
    </row>
    <row r="99" spans="1:9">
      <c r="A99" s="2" t="s">
        <v>2560</v>
      </c>
      <c r="B99" s="2" t="s">
        <v>2943</v>
      </c>
      <c r="C99" s="2" t="s">
        <v>2944</v>
      </c>
      <c r="D99" s="2" t="s">
        <v>2945</v>
      </c>
      <c r="E99" s="2" t="s">
        <v>1095</v>
      </c>
      <c r="F99" s="2" t="s">
        <v>2946</v>
      </c>
      <c r="G99" s="2" t="s">
        <v>8</v>
      </c>
      <c r="H99" s="2" t="s">
        <v>691</v>
      </c>
      <c r="I99" s="2" t="s">
        <v>23</v>
      </c>
    </row>
    <row r="100" spans="1:9">
      <c r="A100" s="2" t="s">
        <v>2560</v>
      </c>
      <c r="B100" s="2" t="s">
        <v>2947</v>
      </c>
      <c r="C100" s="2" t="s">
        <v>2948</v>
      </c>
      <c r="D100" s="2" t="s">
        <v>2949</v>
      </c>
      <c r="E100" s="2" t="s">
        <v>2950</v>
      </c>
      <c r="F100" s="2" t="s">
        <v>2951</v>
      </c>
      <c r="G100" s="2" t="s">
        <v>8</v>
      </c>
      <c r="H100" s="2">
        <v>46</v>
      </c>
      <c r="I100" s="2" t="s">
        <v>770</v>
      </c>
    </row>
    <row r="101" spans="1:9">
      <c r="A101" s="2" t="s">
        <v>2560</v>
      </c>
      <c r="B101" s="2" t="s">
        <v>2952</v>
      </c>
      <c r="C101" s="2" t="s">
        <v>2953</v>
      </c>
      <c r="D101" s="2" t="s">
        <v>2954</v>
      </c>
      <c r="E101" s="2" t="s">
        <v>758</v>
      </c>
      <c r="F101" s="2" t="s">
        <v>2955</v>
      </c>
      <c r="G101" s="2" t="s">
        <v>7</v>
      </c>
      <c r="H101" s="2" t="s">
        <v>179</v>
      </c>
      <c r="I101" s="2" t="s">
        <v>23</v>
      </c>
    </row>
    <row r="102" spans="1:9">
      <c r="A102" s="2" t="s">
        <v>2560</v>
      </c>
      <c r="B102" s="2" t="s">
        <v>2956</v>
      </c>
      <c r="C102" s="2" t="s">
        <v>2957</v>
      </c>
      <c r="D102" s="2" t="s">
        <v>2958</v>
      </c>
      <c r="E102" s="2" t="s">
        <v>2959</v>
      </c>
      <c r="F102" s="2" t="s">
        <v>2960</v>
      </c>
      <c r="G102" s="2" t="s">
        <v>8</v>
      </c>
      <c r="H102" s="2">
        <v>46</v>
      </c>
      <c r="I102" s="2" t="s">
        <v>770</v>
      </c>
    </row>
    <row r="103" spans="1:9">
      <c r="A103" s="2" t="s">
        <v>2560</v>
      </c>
      <c r="B103" s="2" t="s">
        <v>2961</v>
      </c>
      <c r="C103" s="2" t="s">
        <v>2669</v>
      </c>
      <c r="D103" s="2" t="s">
        <v>2962</v>
      </c>
      <c r="E103" s="2" t="s">
        <v>759</v>
      </c>
      <c r="F103" s="2" t="s">
        <v>2963</v>
      </c>
      <c r="G103" s="2" t="s">
        <v>7</v>
      </c>
      <c r="H103" s="2" t="s">
        <v>698</v>
      </c>
      <c r="I103" s="2" t="s">
        <v>16</v>
      </c>
    </row>
    <row r="104" spans="1:9">
      <c r="A104" s="2" t="s">
        <v>2560</v>
      </c>
      <c r="B104" s="2" t="s">
        <v>2964</v>
      </c>
      <c r="C104" s="2" t="s">
        <v>2965</v>
      </c>
      <c r="D104" s="2" t="s">
        <v>2966</v>
      </c>
      <c r="E104" s="2" t="s">
        <v>2967</v>
      </c>
      <c r="F104" s="2" t="s">
        <v>2968</v>
      </c>
      <c r="G104" s="2" t="s">
        <v>8</v>
      </c>
      <c r="H104" s="2">
        <v>46</v>
      </c>
      <c r="I104" s="2" t="s">
        <v>729</v>
      </c>
    </row>
    <row r="105" spans="1:9">
      <c r="A105" s="2" t="s">
        <v>2560</v>
      </c>
      <c r="B105" s="2" t="s">
        <v>2969</v>
      </c>
      <c r="C105" s="2" t="s">
        <v>2970</v>
      </c>
      <c r="D105" s="2" t="s">
        <v>2971</v>
      </c>
      <c r="E105" s="2" t="s">
        <v>218</v>
      </c>
      <c r="F105" s="2" t="s">
        <v>2972</v>
      </c>
      <c r="G105" s="2" t="s">
        <v>8</v>
      </c>
      <c r="H105" s="2" t="s">
        <v>691</v>
      </c>
      <c r="I105" s="2" t="s">
        <v>23</v>
      </c>
    </row>
    <row r="106" spans="1:9">
      <c r="A106" s="2" t="s">
        <v>2560</v>
      </c>
      <c r="B106" s="2" t="s">
        <v>1108</v>
      </c>
      <c r="C106" s="2" t="s">
        <v>2973</v>
      </c>
      <c r="D106" s="2" t="s">
        <v>2974</v>
      </c>
      <c r="E106" s="2" t="s">
        <v>2975</v>
      </c>
      <c r="F106" s="2" t="s">
        <v>2976</v>
      </c>
      <c r="G106" s="2" t="s">
        <v>8</v>
      </c>
      <c r="H106" s="2" t="s">
        <v>691</v>
      </c>
      <c r="I106" s="2" t="s">
        <v>23</v>
      </c>
    </row>
    <row r="107" spans="1:9">
      <c r="A107" s="2" t="s">
        <v>2560</v>
      </c>
      <c r="B107" s="2" t="s">
        <v>2977</v>
      </c>
      <c r="C107" s="2" t="s">
        <v>2978</v>
      </c>
      <c r="D107" s="2" t="s">
        <v>2920</v>
      </c>
      <c r="E107" s="2" t="s">
        <v>2979</v>
      </c>
      <c r="F107" s="2" t="s">
        <v>2980</v>
      </c>
      <c r="G107" s="2" t="s">
        <v>8</v>
      </c>
      <c r="H107" s="2" t="s">
        <v>698</v>
      </c>
      <c r="I107" s="2" t="s">
        <v>18</v>
      </c>
    </row>
    <row r="108" spans="1:9">
      <c r="A108" s="2" t="s">
        <v>2560</v>
      </c>
      <c r="B108" s="2" t="s">
        <v>2986</v>
      </c>
      <c r="C108" s="2" t="s">
        <v>2987</v>
      </c>
      <c r="D108" s="2" t="s">
        <v>2988</v>
      </c>
      <c r="E108" s="2" t="s">
        <v>2989</v>
      </c>
      <c r="F108" s="2" t="s">
        <v>2990</v>
      </c>
      <c r="G108" s="2" t="s">
        <v>8</v>
      </c>
      <c r="H108" s="2">
        <v>46</v>
      </c>
      <c r="I108" s="2" t="s">
        <v>729</v>
      </c>
    </row>
    <row r="109" spans="1:9">
      <c r="A109" s="2" t="s">
        <v>2560</v>
      </c>
      <c r="B109" s="2" t="s">
        <v>2991</v>
      </c>
      <c r="C109" s="2" t="s">
        <v>2992</v>
      </c>
      <c r="D109" s="2" t="s">
        <v>2941</v>
      </c>
      <c r="E109" s="2" t="s">
        <v>200</v>
      </c>
      <c r="F109" s="2" t="s">
        <v>2993</v>
      </c>
      <c r="G109" s="2" t="s">
        <v>7</v>
      </c>
      <c r="H109" s="2" t="s">
        <v>691</v>
      </c>
      <c r="I109" s="2" t="s">
        <v>23</v>
      </c>
    </row>
    <row r="110" spans="1:9">
      <c r="A110" s="2" t="s">
        <v>2560</v>
      </c>
      <c r="B110" s="2" t="s">
        <v>2994</v>
      </c>
      <c r="C110" s="2" t="s">
        <v>2995</v>
      </c>
      <c r="D110" s="2" t="s">
        <v>2996</v>
      </c>
      <c r="E110" s="2" t="s">
        <v>2997</v>
      </c>
      <c r="F110" s="2" t="s">
        <v>2998</v>
      </c>
      <c r="G110" s="2" t="s">
        <v>8</v>
      </c>
      <c r="H110" s="2" t="s">
        <v>695</v>
      </c>
      <c r="I110" s="2" t="s">
        <v>729</v>
      </c>
    </row>
    <row r="111" spans="1:9">
      <c r="A111" s="2" t="s">
        <v>2560</v>
      </c>
      <c r="B111" s="2" t="s">
        <v>3004</v>
      </c>
      <c r="C111" s="2" t="s">
        <v>3005</v>
      </c>
      <c r="D111" s="2" t="s">
        <v>3006</v>
      </c>
      <c r="E111" s="2" t="s">
        <v>3007</v>
      </c>
      <c r="F111" s="2" t="s">
        <v>3008</v>
      </c>
      <c r="G111" s="2" t="s">
        <v>8</v>
      </c>
      <c r="H111" s="2">
        <v>46</v>
      </c>
      <c r="I111" s="2" t="s">
        <v>23</v>
      </c>
    </row>
    <row r="112" spans="1:9">
      <c r="A112" s="2" t="s">
        <v>2560</v>
      </c>
      <c r="B112" s="2" t="s">
        <v>3009</v>
      </c>
      <c r="C112" s="2" t="s">
        <v>3010</v>
      </c>
      <c r="D112" s="2" t="s">
        <v>3011</v>
      </c>
      <c r="E112" s="2" t="s">
        <v>3012</v>
      </c>
      <c r="F112" s="2" t="s">
        <v>3013</v>
      </c>
      <c r="G112" s="2" t="s">
        <v>7</v>
      </c>
      <c r="H112" s="2" t="s">
        <v>691</v>
      </c>
      <c r="I112" s="2" t="s">
        <v>23</v>
      </c>
    </row>
    <row r="113" spans="1:9">
      <c r="A113" s="2" t="s">
        <v>2560</v>
      </c>
      <c r="B113" s="2" t="s">
        <v>3014</v>
      </c>
      <c r="C113" s="2" t="s">
        <v>2795</v>
      </c>
      <c r="D113" s="2" t="s">
        <v>3015</v>
      </c>
      <c r="E113" s="2" t="s">
        <v>3016</v>
      </c>
      <c r="F113" s="2" t="s">
        <v>3017</v>
      </c>
      <c r="G113" s="2" t="s">
        <v>8</v>
      </c>
      <c r="H113" s="2" t="s">
        <v>695</v>
      </c>
      <c r="I113" s="2" t="s">
        <v>23</v>
      </c>
    </row>
    <row r="114" spans="1:9">
      <c r="A114" s="2" t="s">
        <v>2560</v>
      </c>
      <c r="B114" s="2" t="s">
        <v>1081</v>
      </c>
      <c r="C114" s="2" t="s">
        <v>3018</v>
      </c>
      <c r="D114" s="2" t="s">
        <v>3019</v>
      </c>
      <c r="E114" s="2" t="s">
        <v>3020</v>
      </c>
      <c r="F114" s="2" t="s">
        <v>3021</v>
      </c>
      <c r="G114" s="2" t="s">
        <v>8</v>
      </c>
      <c r="H114" s="2">
        <v>46</v>
      </c>
      <c r="I114" s="2" t="s">
        <v>729</v>
      </c>
    </row>
    <row r="115" spans="1:9">
      <c r="A115" s="2" t="s">
        <v>2560</v>
      </c>
      <c r="B115" s="2" t="s">
        <v>3022</v>
      </c>
      <c r="C115" s="2" t="s">
        <v>2705</v>
      </c>
      <c r="D115" s="2" t="s">
        <v>3023</v>
      </c>
      <c r="E115" s="2" t="s">
        <v>760</v>
      </c>
      <c r="F115" s="2" t="s">
        <v>3024</v>
      </c>
      <c r="G115" s="2" t="s">
        <v>8</v>
      </c>
      <c r="H115" s="2" t="s">
        <v>691</v>
      </c>
      <c r="I115" s="2" t="s">
        <v>23</v>
      </c>
    </row>
    <row r="116" spans="1:9">
      <c r="A116" s="2" t="s">
        <v>2560</v>
      </c>
      <c r="B116" s="2" t="s">
        <v>3025</v>
      </c>
      <c r="C116" s="2" t="s">
        <v>3026</v>
      </c>
      <c r="D116" s="2" t="s">
        <v>3027</v>
      </c>
      <c r="E116" s="2" t="s">
        <v>3028</v>
      </c>
      <c r="F116" s="2" t="s">
        <v>3029</v>
      </c>
      <c r="G116" s="2" t="s">
        <v>8</v>
      </c>
      <c r="H116" s="2" t="s">
        <v>691</v>
      </c>
      <c r="I116" s="2" t="s">
        <v>23</v>
      </c>
    </row>
    <row r="117" spans="1:9">
      <c r="A117" s="2" t="s">
        <v>2560</v>
      </c>
      <c r="B117" s="2" t="s">
        <v>3035</v>
      </c>
      <c r="C117" s="2" t="s">
        <v>3036</v>
      </c>
      <c r="D117" s="2" t="s">
        <v>3037</v>
      </c>
      <c r="E117" s="2" t="s">
        <v>3038</v>
      </c>
      <c r="F117" s="2" t="s">
        <v>3039</v>
      </c>
      <c r="G117" s="2" t="s">
        <v>7</v>
      </c>
      <c r="H117" s="2" t="s">
        <v>691</v>
      </c>
      <c r="I117" s="2" t="s">
        <v>770</v>
      </c>
    </row>
    <row r="118" spans="1:9">
      <c r="A118" s="2" t="s">
        <v>2560</v>
      </c>
      <c r="B118" s="2" t="s">
        <v>3040</v>
      </c>
      <c r="C118" s="2" t="s">
        <v>2682</v>
      </c>
      <c r="D118" s="2" t="s">
        <v>3041</v>
      </c>
      <c r="E118" s="2" t="s">
        <v>3042</v>
      </c>
      <c r="F118" s="2" t="s">
        <v>3043</v>
      </c>
      <c r="G118" s="2" t="s">
        <v>7</v>
      </c>
      <c r="H118" s="2" t="s">
        <v>691</v>
      </c>
      <c r="I118" s="2" t="s">
        <v>729</v>
      </c>
    </row>
    <row r="119" spans="1:9">
      <c r="A119" s="2" t="s">
        <v>2560</v>
      </c>
      <c r="B119" s="2" t="s">
        <v>3044</v>
      </c>
      <c r="C119" s="2" t="s">
        <v>3045</v>
      </c>
      <c r="D119" s="2" t="s">
        <v>3046</v>
      </c>
      <c r="E119" s="2" t="s">
        <v>3047</v>
      </c>
      <c r="F119" s="2" t="s">
        <v>3048</v>
      </c>
      <c r="G119" s="2" t="s">
        <v>8</v>
      </c>
      <c r="H119" s="2" t="s">
        <v>695</v>
      </c>
      <c r="I119" s="2" t="s">
        <v>16</v>
      </c>
    </row>
    <row r="120" spans="1:9">
      <c r="A120" s="2" t="s">
        <v>2560</v>
      </c>
      <c r="B120" s="2" t="s">
        <v>3049</v>
      </c>
      <c r="C120" s="2" t="s">
        <v>3050</v>
      </c>
      <c r="D120" s="2" t="s">
        <v>3051</v>
      </c>
      <c r="E120" s="2" t="s">
        <v>3052</v>
      </c>
      <c r="F120" s="2" t="s">
        <v>3053</v>
      </c>
      <c r="G120" s="2" t="s">
        <v>8</v>
      </c>
      <c r="H120" s="2" t="s">
        <v>691</v>
      </c>
      <c r="I120" s="2" t="s">
        <v>729</v>
      </c>
    </row>
    <row r="121" spans="1:9">
      <c r="A121" s="2" t="s">
        <v>2560</v>
      </c>
      <c r="B121" s="2" t="s">
        <v>1458</v>
      </c>
      <c r="C121" s="2" t="s">
        <v>3045</v>
      </c>
      <c r="D121" s="2" t="s">
        <v>2825</v>
      </c>
      <c r="E121" s="2" t="s">
        <v>761</v>
      </c>
      <c r="F121" s="2" t="s">
        <v>3054</v>
      </c>
      <c r="G121" s="2" t="s">
        <v>8</v>
      </c>
      <c r="H121" s="2" t="s">
        <v>698</v>
      </c>
      <c r="I121" s="2" t="s">
        <v>712</v>
      </c>
    </row>
    <row r="122" spans="1:9">
      <c r="A122" s="2" t="s">
        <v>2560</v>
      </c>
      <c r="B122" s="2" t="s">
        <v>3055</v>
      </c>
      <c r="C122" s="2" t="s">
        <v>2666</v>
      </c>
      <c r="D122" s="2" t="s">
        <v>3056</v>
      </c>
      <c r="E122" s="2" t="s">
        <v>761</v>
      </c>
      <c r="F122" s="2" t="s">
        <v>3057</v>
      </c>
      <c r="G122" s="2" t="s">
        <v>7</v>
      </c>
      <c r="H122" s="2" t="s">
        <v>691</v>
      </c>
      <c r="I122" s="2" t="s">
        <v>712</v>
      </c>
    </row>
    <row r="123" spans="1:9">
      <c r="A123" s="2" t="s">
        <v>2560</v>
      </c>
      <c r="B123" s="2" t="s">
        <v>2531</v>
      </c>
      <c r="C123" s="2" t="s">
        <v>2553</v>
      </c>
      <c r="D123" s="2" t="s">
        <v>3058</v>
      </c>
      <c r="E123" s="2" t="s">
        <v>762</v>
      </c>
      <c r="F123" s="2" t="s">
        <v>3059</v>
      </c>
      <c r="G123" s="2" t="s">
        <v>8</v>
      </c>
      <c r="H123" s="2" t="s">
        <v>691</v>
      </c>
      <c r="I123" s="2" t="s">
        <v>15</v>
      </c>
    </row>
    <row r="124" spans="1:9">
      <c r="A124" s="2" t="s">
        <v>2560</v>
      </c>
      <c r="B124" s="2" t="s">
        <v>3060</v>
      </c>
      <c r="C124" s="2" t="s">
        <v>3061</v>
      </c>
      <c r="D124" s="2" t="s">
        <v>3062</v>
      </c>
      <c r="E124" s="2" t="s">
        <v>763</v>
      </c>
      <c r="F124" s="2" t="s">
        <v>3063</v>
      </c>
      <c r="G124" s="2" t="s">
        <v>8</v>
      </c>
      <c r="H124" s="2" t="s">
        <v>698</v>
      </c>
      <c r="I124" s="2" t="s">
        <v>16</v>
      </c>
    </row>
    <row r="125" spans="1:9">
      <c r="A125" s="2" t="s">
        <v>2560</v>
      </c>
      <c r="B125" s="2" t="s">
        <v>3064</v>
      </c>
      <c r="C125" s="2" t="s">
        <v>3065</v>
      </c>
      <c r="D125" s="2" t="s">
        <v>3066</v>
      </c>
      <c r="E125" s="2" t="s">
        <v>3067</v>
      </c>
      <c r="F125" s="2" t="s">
        <v>3068</v>
      </c>
      <c r="G125" s="2" t="s">
        <v>8</v>
      </c>
      <c r="H125" s="2">
        <v>46</v>
      </c>
      <c r="I125" s="2" t="s">
        <v>18</v>
      </c>
    </row>
    <row r="126" spans="1:9">
      <c r="A126" s="2" t="s">
        <v>2560</v>
      </c>
      <c r="B126" s="2" t="s">
        <v>3069</v>
      </c>
      <c r="C126" s="2" t="s">
        <v>3070</v>
      </c>
      <c r="D126" s="2" t="s">
        <v>3071</v>
      </c>
      <c r="E126" s="2" t="s">
        <v>764</v>
      </c>
      <c r="F126" s="2" t="s">
        <v>3072</v>
      </c>
      <c r="G126" s="2" t="s">
        <v>8</v>
      </c>
      <c r="H126" s="2" t="s">
        <v>695</v>
      </c>
      <c r="I126" s="2" t="s">
        <v>25</v>
      </c>
    </row>
    <row r="127" spans="1:9">
      <c r="A127" s="2" t="s">
        <v>2560</v>
      </c>
      <c r="B127" s="2" t="s">
        <v>3078</v>
      </c>
      <c r="C127" s="2" t="s">
        <v>3079</v>
      </c>
      <c r="D127" s="2" t="s">
        <v>3066</v>
      </c>
      <c r="E127" s="2" t="s">
        <v>765</v>
      </c>
      <c r="F127" s="2" t="s">
        <v>3080</v>
      </c>
      <c r="G127" s="2" t="s">
        <v>8</v>
      </c>
      <c r="H127" s="2" t="s">
        <v>179</v>
      </c>
      <c r="I127" s="2" t="s">
        <v>18</v>
      </c>
    </row>
    <row r="128" spans="1:9">
      <c r="A128" s="2" t="s">
        <v>2560</v>
      </c>
      <c r="B128" s="2" t="s">
        <v>3081</v>
      </c>
      <c r="C128" s="2" t="s">
        <v>3082</v>
      </c>
      <c r="D128" s="2" t="s">
        <v>3083</v>
      </c>
      <c r="E128" s="2" t="s">
        <v>766</v>
      </c>
      <c r="F128" s="2" t="s">
        <v>3084</v>
      </c>
      <c r="G128" s="2" t="s">
        <v>8</v>
      </c>
      <c r="H128" s="2" t="s">
        <v>698</v>
      </c>
      <c r="I128" s="2" t="s">
        <v>15</v>
      </c>
    </row>
    <row r="129" spans="1:9">
      <c r="A129" s="2" t="s">
        <v>2560</v>
      </c>
      <c r="B129" s="2" t="s">
        <v>3085</v>
      </c>
      <c r="C129" s="2" t="s">
        <v>3086</v>
      </c>
      <c r="D129" s="2" t="s">
        <v>3087</v>
      </c>
      <c r="E129" s="2" t="s">
        <v>2797</v>
      </c>
      <c r="F129" s="2" t="s">
        <v>3088</v>
      </c>
      <c r="G129" s="2" t="s">
        <v>8</v>
      </c>
      <c r="H129" s="2" t="s">
        <v>698</v>
      </c>
      <c r="I129" s="2" t="s">
        <v>16</v>
      </c>
    </row>
    <row r="130" spans="1:9">
      <c r="A130" s="2" t="s">
        <v>2560</v>
      </c>
      <c r="B130" s="2" t="s">
        <v>3089</v>
      </c>
      <c r="C130" s="2" t="s">
        <v>3090</v>
      </c>
      <c r="D130" s="2" t="s">
        <v>3091</v>
      </c>
      <c r="E130" s="2" t="s">
        <v>3092</v>
      </c>
      <c r="F130" s="2" t="s">
        <v>3093</v>
      </c>
      <c r="G130" s="2" t="s">
        <v>8</v>
      </c>
      <c r="H130" s="2" t="s">
        <v>698</v>
      </c>
      <c r="I130" s="2" t="s">
        <v>16</v>
      </c>
    </row>
    <row r="131" spans="1:9">
      <c r="A131" s="2" t="s">
        <v>2560</v>
      </c>
      <c r="B131" s="2" t="s">
        <v>3094</v>
      </c>
      <c r="C131" s="2" t="s">
        <v>3095</v>
      </c>
      <c r="D131" s="2" t="s">
        <v>3096</v>
      </c>
      <c r="E131" s="2" t="s">
        <v>767</v>
      </c>
      <c r="F131" s="2" t="s">
        <v>3097</v>
      </c>
      <c r="G131" s="2" t="s">
        <v>7</v>
      </c>
      <c r="H131" s="2">
        <v>46</v>
      </c>
      <c r="I131" s="2" t="s">
        <v>15</v>
      </c>
    </row>
    <row r="132" spans="1:9">
      <c r="A132" s="2" t="s">
        <v>2560</v>
      </c>
      <c r="B132" s="2" t="s">
        <v>3098</v>
      </c>
      <c r="C132" s="2" t="s">
        <v>3099</v>
      </c>
      <c r="D132" s="2" t="s">
        <v>3100</v>
      </c>
      <c r="E132" s="2" t="s">
        <v>3101</v>
      </c>
      <c r="F132" s="2" t="s">
        <v>3102</v>
      </c>
      <c r="G132" s="2" t="s">
        <v>8</v>
      </c>
      <c r="H132" s="2" t="s">
        <v>698</v>
      </c>
      <c r="I132" s="2" t="s">
        <v>700</v>
      </c>
    </row>
    <row r="133" spans="1:9">
      <c r="A133" s="2" t="s">
        <v>2560</v>
      </c>
      <c r="B133" s="2" t="s">
        <v>3103</v>
      </c>
      <c r="C133" s="2" t="s">
        <v>3104</v>
      </c>
      <c r="D133" s="2" t="s">
        <v>3105</v>
      </c>
      <c r="E133" s="2" t="s">
        <v>3106</v>
      </c>
      <c r="F133" s="2" t="s">
        <v>3107</v>
      </c>
      <c r="G133" s="2" t="s">
        <v>7</v>
      </c>
      <c r="H133" s="2">
        <v>46</v>
      </c>
      <c r="I133" s="2" t="s">
        <v>23</v>
      </c>
    </row>
    <row r="134" spans="1:9">
      <c r="A134" s="2" t="s">
        <v>2560</v>
      </c>
      <c r="B134" s="2" t="s">
        <v>3108</v>
      </c>
      <c r="C134" s="2" t="s">
        <v>2669</v>
      </c>
      <c r="D134" s="2" t="s">
        <v>3109</v>
      </c>
      <c r="E134" s="2" t="s">
        <v>768</v>
      </c>
      <c r="F134" s="2" t="s">
        <v>3110</v>
      </c>
      <c r="G134" s="2" t="s">
        <v>7</v>
      </c>
      <c r="H134" s="2" t="s">
        <v>695</v>
      </c>
      <c r="I134" s="2" t="s">
        <v>18</v>
      </c>
    </row>
    <row r="135" spans="1:9">
      <c r="A135" s="2" t="s">
        <v>2560</v>
      </c>
      <c r="B135" s="2" t="s">
        <v>3111</v>
      </c>
      <c r="C135" s="2" t="s">
        <v>3112</v>
      </c>
      <c r="D135" s="2" t="s">
        <v>3113</v>
      </c>
      <c r="E135" s="2" t="s">
        <v>3114</v>
      </c>
      <c r="F135" s="2" t="s">
        <v>3115</v>
      </c>
      <c r="G135" s="2" t="s">
        <v>7</v>
      </c>
      <c r="H135" s="2" t="s">
        <v>691</v>
      </c>
      <c r="I135" s="2" t="s">
        <v>15</v>
      </c>
    </row>
    <row r="136" spans="1:9">
      <c r="A136" s="2" t="s">
        <v>2560</v>
      </c>
      <c r="B136" s="2" t="s">
        <v>3116</v>
      </c>
      <c r="C136" s="2" t="s">
        <v>3117</v>
      </c>
      <c r="D136" s="2" t="s">
        <v>3118</v>
      </c>
      <c r="E136" s="2" t="s">
        <v>258</v>
      </c>
      <c r="F136" s="2" t="s">
        <v>3119</v>
      </c>
      <c r="G136" s="2" t="s">
        <v>7</v>
      </c>
      <c r="H136" s="2" t="s">
        <v>695</v>
      </c>
      <c r="I136" s="2" t="s">
        <v>15</v>
      </c>
    </row>
    <row r="137" spans="1:9">
      <c r="A137" s="2" t="s">
        <v>2560</v>
      </c>
      <c r="B137" s="2" t="s">
        <v>2486</v>
      </c>
      <c r="C137" s="2" t="s">
        <v>2615</v>
      </c>
      <c r="D137" s="2" t="s">
        <v>3120</v>
      </c>
      <c r="E137" s="2" t="s">
        <v>769</v>
      </c>
      <c r="F137" s="2" t="s">
        <v>3121</v>
      </c>
      <c r="G137" s="2" t="s">
        <v>7</v>
      </c>
      <c r="H137" s="2" t="s">
        <v>695</v>
      </c>
      <c r="I137" s="2" t="s">
        <v>770</v>
      </c>
    </row>
    <row r="138" spans="1:9">
      <c r="A138" s="2" t="s">
        <v>2560</v>
      </c>
      <c r="B138" s="2" t="s">
        <v>3122</v>
      </c>
      <c r="C138" s="2" t="s">
        <v>3123</v>
      </c>
      <c r="D138" s="2" t="s">
        <v>3124</v>
      </c>
      <c r="E138" s="2" t="s">
        <v>769</v>
      </c>
      <c r="F138" s="2" t="s">
        <v>3125</v>
      </c>
      <c r="G138" s="2" t="s">
        <v>8</v>
      </c>
      <c r="H138" s="2" t="s">
        <v>179</v>
      </c>
      <c r="I138" s="2" t="s">
        <v>15</v>
      </c>
    </row>
    <row r="139" spans="1:9">
      <c r="A139" s="2" t="s">
        <v>2560</v>
      </c>
      <c r="B139" s="2" t="s">
        <v>3126</v>
      </c>
      <c r="C139" s="2" t="s">
        <v>2666</v>
      </c>
      <c r="D139" s="2" t="s">
        <v>3127</v>
      </c>
      <c r="E139" s="2" t="s">
        <v>3128</v>
      </c>
      <c r="F139" s="2" t="s">
        <v>3129</v>
      </c>
      <c r="G139" s="2" t="s">
        <v>7</v>
      </c>
      <c r="H139" s="2" t="s">
        <v>698</v>
      </c>
      <c r="I139" s="2" t="s">
        <v>18</v>
      </c>
    </row>
    <row r="140" spans="1:9">
      <c r="A140" s="2" t="s">
        <v>2560</v>
      </c>
      <c r="B140" s="2" t="s">
        <v>3130</v>
      </c>
      <c r="C140" s="2" t="s">
        <v>3131</v>
      </c>
      <c r="D140" s="2" t="s">
        <v>3132</v>
      </c>
      <c r="E140" s="2" t="s">
        <v>3133</v>
      </c>
      <c r="F140" s="2" t="s">
        <v>3134</v>
      </c>
      <c r="G140" s="2" t="s">
        <v>7</v>
      </c>
      <c r="H140" s="2" t="s">
        <v>695</v>
      </c>
      <c r="I140" s="2" t="s">
        <v>15</v>
      </c>
    </row>
    <row r="141" spans="1:9">
      <c r="A141" s="2" t="s">
        <v>2560</v>
      </c>
      <c r="B141" s="2" t="s">
        <v>3135</v>
      </c>
      <c r="C141" s="2" t="s">
        <v>3136</v>
      </c>
      <c r="D141" s="2" t="s">
        <v>3137</v>
      </c>
      <c r="E141" s="2" t="s">
        <v>262</v>
      </c>
      <c r="F141" s="2" t="s">
        <v>3138</v>
      </c>
      <c r="G141" s="2" t="s">
        <v>7</v>
      </c>
      <c r="H141" s="2">
        <v>46</v>
      </c>
      <c r="I141" s="2" t="s">
        <v>15</v>
      </c>
    </row>
    <row r="142" spans="1:9">
      <c r="A142" s="2" t="s">
        <v>2560</v>
      </c>
      <c r="B142" s="2" t="s">
        <v>3139</v>
      </c>
      <c r="C142" s="2" t="s">
        <v>3140</v>
      </c>
      <c r="D142" s="2" t="s">
        <v>3141</v>
      </c>
      <c r="E142" s="2" t="s">
        <v>280</v>
      </c>
      <c r="F142" s="2" t="s">
        <v>3142</v>
      </c>
      <c r="G142" s="2" t="s">
        <v>7</v>
      </c>
      <c r="H142" s="2" t="s">
        <v>691</v>
      </c>
      <c r="I142" s="2" t="s">
        <v>16</v>
      </c>
    </row>
    <row r="143" spans="1:9">
      <c r="A143" s="2" t="s">
        <v>2560</v>
      </c>
      <c r="B143" s="2" t="s">
        <v>3143</v>
      </c>
      <c r="C143" s="2" t="s">
        <v>3144</v>
      </c>
      <c r="D143" s="2" t="s">
        <v>3145</v>
      </c>
      <c r="E143" s="2" t="s">
        <v>771</v>
      </c>
      <c r="F143" s="2" t="s">
        <v>3146</v>
      </c>
      <c r="G143" s="2" t="s">
        <v>7</v>
      </c>
      <c r="H143" s="2">
        <v>46</v>
      </c>
      <c r="I143" s="2" t="s">
        <v>16</v>
      </c>
    </row>
    <row r="144" spans="1:9">
      <c r="A144" s="2" t="s">
        <v>2560</v>
      </c>
      <c r="B144" s="2" t="s">
        <v>3147</v>
      </c>
      <c r="C144" s="2" t="s">
        <v>3148</v>
      </c>
      <c r="D144" s="2" t="s">
        <v>3149</v>
      </c>
      <c r="E144" s="2" t="s">
        <v>265</v>
      </c>
      <c r="F144" s="2" t="s">
        <v>3150</v>
      </c>
      <c r="G144" s="2" t="s">
        <v>7</v>
      </c>
      <c r="H144" s="2" t="s">
        <v>695</v>
      </c>
      <c r="I144" s="2" t="s">
        <v>15</v>
      </c>
    </row>
    <row r="145" spans="1:11">
      <c r="A145" s="2" t="s">
        <v>2560</v>
      </c>
      <c r="B145" s="2" t="s">
        <v>3151</v>
      </c>
      <c r="C145" s="2" t="s">
        <v>3152</v>
      </c>
      <c r="D145" s="2" t="s">
        <v>3153</v>
      </c>
      <c r="E145" s="2" t="s">
        <v>256</v>
      </c>
      <c r="F145" s="2" t="s">
        <v>3154</v>
      </c>
      <c r="G145" s="2" t="s">
        <v>7</v>
      </c>
      <c r="H145" s="2" t="s">
        <v>691</v>
      </c>
      <c r="I145" s="2" t="s">
        <v>15</v>
      </c>
    </row>
    <row r="146" spans="1:11">
      <c r="A146" s="2" t="s">
        <v>2560</v>
      </c>
      <c r="B146" s="2" t="s">
        <v>3155</v>
      </c>
      <c r="C146" s="2" t="s">
        <v>3156</v>
      </c>
      <c r="D146" s="2" t="s">
        <v>3157</v>
      </c>
      <c r="E146" s="2" t="s">
        <v>3158</v>
      </c>
      <c r="F146" s="2" t="s">
        <v>3159</v>
      </c>
      <c r="G146" s="2" t="s">
        <v>7</v>
      </c>
      <c r="H146" s="2" t="s">
        <v>698</v>
      </c>
      <c r="I146" s="2" t="s">
        <v>770</v>
      </c>
    </row>
    <row r="147" spans="1:11">
      <c r="A147" s="2" t="s">
        <v>2560</v>
      </c>
      <c r="B147" s="2" t="s">
        <v>3165</v>
      </c>
      <c r="C147" s="2" t="s">
        <v>3166</v>
      </c>
      <c r="D147" s="2" t="s">
        <v>2669</v>
      </c>
      <c r="E147" s="2" t="s">
        <v>1049</v>
      </c>
      <c r="F147" s="2" t="s">
        <v>3167</v>
      </c>
      <c r="G147" s="2" t="s">
        <v>8</v>
      </c>
      <c r="H147" s="2" t="s">
        <v>691</v>
      </c>
      <c r="I147" s="2" t="s">
        <v>16</v>
      </c>
    </row>
    <row r="148" spans="1:11">
      <c r="A148" s="2" t="s">
        <v>2560</v>
      </c>
      <c r="B148" s="2" t="s">
        <v>3168</v>
      </c>
      <c r="C148" s="2" t="s">
        <v>2669</v>
      </c>
      <c r="D148" s="2" t="s">
        <v>3169</v>
      </c>
      <c r="E148" s="2" t="s">
        <v>284</v>
      </c>
      <c r="F148" s="2" t="s">
        <v>3170</v>
      </c>
      <c r="G148" s="2" t="s">
        <v>7</v>
      </c>
      <c r="H148" s="2" t="s">
        <v>691</v>
      </c>
      <c r="I148" s="2" t="s">
        <v>729</v>
      </c>
    </row>
    <row r="149" spans="1:11">
      <c r="A149" s="2" t="s">
        <v>2560</v>
      </c>
      <c r="B149" s="2" t="s">
        <v>3171</v>
      </c>
      <c r="C149" s="2" t="s">
        <v>2669</v>
      </c>
      <c r="D149" s="2" t="s">
        <v>2690</v>
      </c>
      <c r="E149" s="2" t="s">
        <v>3172</v>
      </c>
      <c r="F149" s="2" t="s">
        <v>3173</v>
      </c>
      <c r="G149" s="2" t="s">
        <v>7</v>
      </c>
      <c r="H149" s="2" t="s">
        <v>691</v>
      </c>
      <c r="I149" s="2" t="s">
        <v>15</v>
      </c>
      <c r="K149" s="21" t="s">
        <v>15</v>
      </c>
    </row>
    <row r="150" spans="1:11">
      <c r="A150" s="2" t="s">
        <v>2560</v>
      </c>
      <c r="B150" s="2" t="s">
        <v>3174</v>
      </c>
      <c r="C150" s="2" t="s">
        <v>3175</v>
      </c>
      <c r="D150" s="2" t="s">
        <v>3176</v>
      </c>
      <c r="E150" s="2" t="s">
        <v>3177</v>
      </c>
      <c r="F150" s="2" t="s">
        <v>3178</v>
      </c>
      <c r="G150" s="2" t="s">
        <v>8</v>
      </c>
      <c r="H150" s="2" t="s">
        <v>691</v>
      </c>
      <c r="I150" s="2" t="s">
        <v>23</v>
      </c>
    </row>
    <row r="151" spans="1:11">
      <c r="A151" s="2" t="s">
        <v>2560</v>
      </c>
      <c r="B151" s="2" t="s">
        <v>3179</v>
      </c>
      <c r="C151" s="2" t="s">
        <v>3180</v>
      </c>
      <c r="D151" s="2" t="s">
        <v>3181</v>
      </c>
      <c r="E151" s="2" t="s">
        <v>3182</v>
      </c>
      <c r="F151" s="2" t="s">
        <v>3183</v>
      </c>
      <c r="G151" s="2" t="s">
        <v>7</v>
      </c>
      <c r="H151" s="2" t="s">
        <v>695</v>
      </c>
      <c r="I151" s="2" t="s">
        <v>18</v>
      </c>
    </row>
    <row r="152" spans="1:11">
      <c r="A152" s="2" t="s">
        <v>2560</v>
      </c>
      <c r="B152" s="2" t="s">
        <v>3184</v>
      </c>
      <c r="C152" s="2" t="s">
        <v>3185</v>
      </c>
      <c r="D152" s="2" t="s">
        <v>3186</v>
      </c>
      <c r="E152" s="2" t="s">
        <v>3187</v>
      </c>
      <c r="F152" s="2" t="s">
        <v>3188</v>
      </c>
      <c r="G152" s="2" t="s">
        <v>8</v>
      </c>
      <c r="H152" s="2" t="s">
        <v>691</v>
      </c>
      <c r="I152" s="2" t="s">
        <v>18</v>
      </c>
    </row>
    <row r="153" spans="1:11">
      <c r="A153" s="2" t="s">
        <v>2560</v>
      </c>
      <c r="B153" s="2" t="s">
        <v>3189</v>
      </c>
      <c r="C153" s="2" t="s">
        <v>3190</v>
      </c>
      <c r="D153" s="2" t="s">
        <v>3191</v>
      </c>
      <c r="E153" s="2" t="s">
        <v>3192</v>
      </c>
      <c r="F153" s="2" t="s">
        <v>3193</v>
      </c>
      <c r="G153" s="2" t="s">
        <v>7</v>
      </c>
      <c r="H153" s="2" t="s">
        <v>691</v>
      </c>
      <c r="I153" s="2" t="s">
        <v>15</v>
      </c>
    </row>
    <row r="154" spans="1:11">
      <c r="A154" s="2" t="s">
        <v>2560</v>
      </c>
      <c r="B154" s="2" t="s">
        <v>3194</v>
      </c>
      <c r="C154" s="2" t="s">
        <v>3195</v>
      </c>
      <c r="D154" s="2" t="s">
        <v>3196</v>
      </c>
      <c r="E154" s="2" t="s">
        <v>3197</v>
      </c>
      <c r="F154" s="2" t="s">
        <v>3198</v>
      </c>
      <c r="G154" s="2" t="s">
        <v>8</v>
      </c>
      <c r="H154" s="2" t="s">
        <v>695</v>
      </c>
      <c r="I154" s="2" t="s">
        <v>16</v>
      </c>
    </row>
    <row r="155" spans="1:11">
      <c r="A155" s="2" t="s">
        <v>2560</v>
      </c>
      <c r="B155" s="2" t="s">
        <v>3199</v>
      </c>
      <c r="C155" s="2" t="s">
        <v>3031</v>
      </c>
      <c r="D155" s="2" t="s">
        <v>3200</v>
      </c>
      <c r="E155" s="2" t="s">
        <v>3201</v>
      </c>
      <c r="F155" s="2" t="s">
        <v>3202</v>
      </c>
      <c r="G155" s="2" t="s">
        <v>8</v>
      </c>
      <c r="H155" s="2" t="s">
        <v>691</v>
      </c>
      <c r="I155" s="2" t="s">
        <v>700</v>
      </c>
    </row>
    <row r="156" spans="1:11">
      <c r="A156" s="2" t="s">
        <v>2560</v>
      </c>
      <c r="B156" s="2" t="s">
        <v>3203</v>
      </c>
      <c r="C156" s="2" t="s">
        <v>3204</v>
      </c>
      <c r="D156" s="2" t="s">
        <v>3205</v>
      </c>
      <c r="E156" s="2" t="s">
        <v>3206</v>
      </c>
      <c r="F156" s="2" t="s">
        <v>3207</v>
      </c>
      <c r="G156" s="2" t="s">
        <v>8</v>
      </c>
      <c r="H156" s="2" t="s">
        <v>695</v>
      </c>
      <c r="I156" s="2" t="s">
        <v>16</v>
      </c>
    </row>
    <row r="157" spans="1:11">
      <c r="A157" s="2" t="s">
        <v>2560</v>
      </c>
      <c r="B157" s="2" t="s">
        <v>3208</v>
      </c>
      <c r="C157" s="2" t="s">
        <v>3209</v>
      </c>
      <c r="D157" s="2" t="s">
        <v>3210</v>
      </c>
      <c r="E157" s="2" t="s">
        <v>3211</v>
      </c>
      <c r="F157" s="2" t="s">
        <v>3212</v>
      </c>
      <c r="G157" s="2" t="s">
        <v>7</v>
      </c>
      <c r="H157" s="2">
        <v>46</v>
      </c>
      <c r="I157" s="2" t="s">
        <v>770</v>
      </c>
    </row>
    <row r="158" spans="1:11">
      <c r="A158" s="2" t="s">
        <v>2560</v>
      </c>
      <c r="B158" s="2" t="s">
        <v>3213</v>
      </c>
      <c r="C158" s="2" t="s">
        <v>3214</v>
      </c>
      <c r="D158" s="2" t="s">
        <v>2651</v>
      </c>
      <c r="E158" s="2" t="s">
        <v>3215</v>
      </c>
      <c r="F158" s="2" t="s">
        <v>3216</v>
      </c>
      <c r="G158" s="2" t="s">
        <v>8</v>
      </c>
      <c r="H158" s="2" t="s">
        <v>691</v>
      </c>
      <c r="I158" s="2" t="s">
        <v>700</v>
      </c>
    </row>
    <row r="159" spans="1:11">
      <c r="A159" s="2" t="s">
        <v>2560</v>
      </c>
      <c r="B159" s="2" t="s">
        <v>3217</v>
      </c>
      <c r="C159" s="2" t="s">
        <v>3218</v>
      </c>
      <c r="D159" s="2" t="s">
        <v>3219</v>
      </c>
      <c r="E159" s="2" t="s">
        <v>772</v>
      </c>
      <c r="F159" s="2" t="s">
        <v>3220</v>
      </c>
      <c r="G159" s="2" t="s">
        <v>8</v>
      </c>
      <c r="H159" s="2" t="s">
        <v>179</v>
      </c>
      <c r="I159" s="2" t="s">
        <v>15</v>
      </c>
    </row>
    <row r="160" spans="1:11">
      <c r="A160" s="2" t="s">
        <v>2560</v>
      </c>
      <c r="B160" s="2" t="s">
        <v>3221</v>
      </c>
      <c r="C160" s="2" t="s">
        <v>3222</v>
      </c>
      <c r="D160" s="2" t="s">
        <v>3223</v>
      </c>
      <c r="E160" s="2" t="s">
        <v>3224</v>
      </c>
      <c r="F160" s="2" t="s">
        <v>3225</v>
      </c>
      <c r="G160" s="2" t="s">
        <v>7</v>
      </c>
      <c r="H160" s="2" t="s">
        <v>691</v>
      </c>
      <c r="I160" s="2" t="s">
        <v>15</v>
      </c>
    </row>
    <row r="161" spans="1:9">
      <c r="A161" s="2" t="s">
        <v>2560</v>
      </c>
      <c r="B161" s="2" t="s">
        <v>3226</v>
      </c>
      <c r="C161" s="2" t="s">
        <v>3227</v>
      </c>
      <c r="D161" s="2" t="s">
        <v>3228</v>
      </c>
      <c r="E161" s="2" t="s">
        <v>3229</v>
      </c>
      <c r="F161" s="2" t="s">
        <v>3230</v>
      </c>
      <c r="G161" s="2" t="s">
        <v>7</v>
      </c>
      <c r="H161" s="2" t="s">
        <v>695</v>
      </c>
      <c r="I161" s="2" t="s">
        <v>16</v>
      </c>
    </row>
    <row r="162" spans="1:9">
      <c r="A162" s="2" t="s">
        <v>2560</v>
      </c>
      <c r="B162" s="2" t="s">
        <v>3231</v>
      </c>
      <c r="C162" s="2" t="s">
        <v>3232</v>
      </c>
      <c r="D162" s="2" t="s">
        <v>3233</v>
      </c>
      <c r="E162" s="2" t="s">
        <v>3234</v>
      </c>
      <c r="F162" s="2" t="s">
        <v>3235</v>
      </c>
      <c r="G162" s="2" t="s">
        <v>8</v>
      </c>
      <c r="H162" s="2">
        <v>46</v>
      </c>
      <c r="I162" s="2" t="s">
        <v>729</v>
      </c>
    </row>
    <row r="163" spans="1:9">
      <c r="A163" s="2" t="s">
        <v>2560</v>
      </c>
      <c r="B163" s="2" t="s">
        <v>3236</v>
      </c>
      <c r="C163" s="2" t="s">
        <v>3237</v>
      </c>
      <c r="D163" s="2" t="s">
        <v>3238</v>
      </c>
      <c r="E163" s="2" t="s">
        <v>3239</v>
      </c>
      <c r="F163" s="2" t="s">
        <v>3240</v>
      </c>
      <c r="G163" s="2" t="s">
        <v>8</v>
      </c>
      <c r="H163" s="2" t="s">
        <v>695</v>
      </c>
      <c r="I163" s="2" t="s">
        <v>700</v>
      </c>
    </row>
    <row r="164" spans="1:9">
      <c r="A164" s="2" t="s">
        <v>2560</v>
      </c>
      <c r="B164" s="2" t="s">
        <v>3241</v>
      </c>
      <c r="C164" s="2" t="s">
        <v>3242</v>
      </c>
      <c r="D164" s="2" t="s">
        <v>3243</v>
      </c>
      <c r="E164" s="2" t="s">
        <v>773</v>
      </c>
      <c r="F164" s="2" t="s">
        <v>3244</v>
      </c>
      <c r="G164" s="2" t="s">
        <v>7</v>
      </c>
      <c r="H164" s="2" t="s">
        <v>691</v>
      </c>
      <c r="I164" s="2" t="s">
        <v>22</v>
      </c>
    </row>
    <row r="165" spans="1:9">
      <c r="A165" s="2" t="s">
        <v>2560</v>
      </c>
      <c r="B165" s="2" t="s">
        <v>3245</v>
      </c>
      <c r="C165" s="2" t="s">
        <v>3246</v>
      </c>
      <c r="D165" s="2" t="s">
        <v>3247</v>
      </c>
      <c r="E165" s="2" t="s">
        <v>3248</v>
      </c>
      <c r="F165" s="2" t="s">
        <v>3249</v>
      </c>
      <c r="G165" s="2" t="s">
        <v>8</v>
      </c>
      <c r="H165" s="2" t="s">
        <v>695</v>
      </c>
      <c r="I165" s="2" t="s">
        <v>23</v>
      </c>
    </row>
    <row r="166" spans="1:9">
      <c r="A166" s="2" t="s">
        <v>2560</v>
      </c>
      <c r="B166" s="2" t="s">
        <v>3255</v>
      </c>
      <c r="C166" s="2" t="s">
        <v>3256</v>
      </c>
      <c r="D166" s="2" t="s">
        <v>3257</v>
      </c>
      <c r="E166" s="2" t="s">
        <v>3258</v>
      </c>
      <c r="F166" s="2" t="s">
        <v>3259</v>
      </c>
      <c r="G166" s="2" t="s">
        <v>8</v>
      </c>
      <c r="H166" s="2" t="s">
        <v>691</v>
      </c>
      <c r="I166" s="2" t="s">
        <v>770</v>
      </c>
    </row>
    <row r="167" spans="1:9">
      <c r="A167" s="2" t="s">
        <v>2560</v>
      </c>
      <c r="B167" s="2" t="s">
        <v>3260</v>
      </c>
      <c r="C167" s="2" t="s">
        <v>3261</v>
      </c>
      <c r="D167" s="2" t="s">
        <v>3262</v>
      </c>
      <c r="E167" s="2" t="s">
        <v>3263</v>
      </c>
      <c r="F167" s="2" t="s">
        <v>3264</v>
      </c>
      <c r="G167" s="2" t="s">
        <v>7</v>
      </c>
      <c r="H167" s="2" t="s">
        <v>698</v>
      </c>
      <c r="I167" s="2" t="s">
        <v>23</v>
      </c>
    </row>
    <row r="168" spans="1:9">
      <c r="A168" s="2" t="s">
        <v>2560</v>
      </c>
      <c r="B168" s="2" t="s">
        <v>3265</v>
      </c>
      <c r="C168" s="2" t="s">
        <v>3266</v>
      </c>
      <c r="D168" s="2" t="s">
        <v>3267</v>
      </c>
      <c r="E168" s="2" t="s">
        <v>3268</v>
      </c>
      <c r="F168" s="2" t="s">
        <v>3269</v>
      </c>
      <c r="G168" s="2" t="s">
        <v>8</v>
      </c>
      <c r="H168" s="2" t="s">
        <v>695</v>
      </c>
      <c r="I168" s="2" t="s">
        <v>700</v>
      </c>
    </row>
    <row r="169" spans="1:9">
      <c r="A169" s="2" t="s">
        <v>2560</v>
      </c>
      <c r="B169" s="2" t="s">
        <v>3270</v>
      </c>
      <c r="C169" s="2" t="s">
        <v>3271</v>
      </c>
      <c r="D169" s="2" t="s">
        <v>3272</v>
      </c>
      <c r="E169" s="2" t="s">
        <v>3273</v>
      </c>
      <c r="F169" s="2" t="s">
        <v>3274</v>
      </c>
      <c r="G169" s="2" t="s">
        <v>8</v>
      </c>
      <c r="H169" s="2" t="s">
        <v>695</v>
      </c>
      <c r="I169" s="2" t="s">
        <v>16</v>
      </c>
    </row>
    <row r="170" spans="1:9">
      <c r="A170" s="2" t="s">
        <v>2560</v>
      </c>
      <c r="B170" s="2" t="s">
        <v>1788</v>
      </c>
      <c r="C170" s="2" t="s">
        <v>3275</v>
      </c>
      <c r="D170" s="2" t="s">
        <v>3276</v>
      </c>
      <c r="E170" s="2" t="s">
        <v>774</v>
      </c>
      <c r="F170" s="2" t="s">
        <v>3277</v>
      </c>
      <c r="G170" s="2" t="s">
        <v>7</v>
      </c>
      <c r="H170" s="2" t="s">
        <v>179</v>
      </c>
      <c r="I170" s="2" t="s">
        <v>25</v>
      </c>
    </row>
    <row r="171" spans="1:9">
      <c r="A171" s="2" t="s">
        <v>2560</v>
      </c>
      <c r="B171" s="2" t="s">
        <v>1192</v>
      </c>
      <c r="C171" s="2" t="s">
        <v>3278</v>
      </c>
      <c r="D171" s="2" t="s">
        <v>3279</v>
      </c>
      <c r="E171" s="2" t="s">
        <v>775</v>
      </c>
      <c r="F171" s="2" t="s">
        <v>3280</v>
      </c>
      <c r="G171" s="2" t="s">
        <v>8</v>
      </c>
      <c r="H171" s="2" t="s">
        <v>695</v>
      </c>
      <c r="I171" s="2" t="s">
        <v>700</v>
      </c>
    </row>
    <row r="172" spans="1:9">
      <c r="A172" s="2" t="s">
        <v>2560</v>
      </c>
      <c r="B172" s="2" t="s">
        <v>1453</v>
      </c>
      <c r="C172" s="2" t="s">
        <v>2662</v>
      </c>
      <c r="D172" s="2" t="s">
        <v>3281</v>
      </c>
      <c r="E172" s="2" t="s">
        <v>776</v>
      </c>
      <c r="F172" s="2" t="s">
        <v>3282</v>
      </c>
      <c r="G172" s="2" t="s">
        <v>7</v>
      </c>
      <c r="H172" s="2" t="s">
        <v>179</v>
      </c>
      <c r="I172" s="2" t="s">
        <v>710</v>
      </c>
    </row>
    <row r="173" spans="1:9">
      <c r="A173" s="2" t="s">
        <v>2560</v>
      </c>
      <c r="B173" s="2" t="s">
        <v>3283</v>
      </c>
      <c r="C173" s="2" t="s">
        <v>2599</v>
      </c>
      <c r="D173" s="2" t="s">
        <v>3284</v>
      </c>
      <c r="E173" s="2" t="s">
        <v>777</v>
      </c>
      <c r="F173" s="2" t="s">
        <v>3285</v>
      </c>
      <c r="G173" s="2" t="s">
        <v>8</v>
      </c>
      <c r="H173" s="2" t="s">
        <v>691</v>
      </c>
      <c r="I173" s="2" t="s">
        <v>700</v>
      </c>
    </row>
    <row r="174" spans="1:9">
      <c r="A174" s="2" t="s">
        <v>2560</v>
      </c>
      <c r="B174" s="2" t="s">
        <v>3286</v>
      </c>
      <c r="C174" s="2" t="s">
        <v>3275</v>
      </c>
      <c r="D174" s="2" t="s">
        <v>3287</v>
      </c>
      <c r="E174" s="2" t="s">
        <v>3288</v>
      </c>
      <c r="F174" s="2" t="s">
        <v>3289</v>
      </c>
      <c r="G174" s="2" t="s">
        <v>7</v>
      </c>
      <c r="H174" s="2" t="s">
        <v>698</v>
      </c>
      <c r="I174" s="2" t="s">
        <v>729</v>
      </c>
    </row>
    <row r="175" spans="1:9">
      <c r="A175" s="2" t="s">
        <v>2560</v>
      </c>
      <c r="B175" s="2" t="s">
        <v>1227</v>
      </c>
      <c r="C175" s="2" t="s">
        <v>3290</v>
      </c>
      <c r="D175" s="2" t="s">
        <v>3291</v>
      </c>
      <c r="E175" s="2" t="s">
        <v>778</v>
      </c>
      <c r="F175" s="2" t="s">
        <v>3292</v>
      </c>
      <c r="G175" s="2" t="s">
        <v>8</v>
      </c>
      <c r="H175" s="2">
        <v>46</v>
      </c>
      <c r="I175" s="2" t="s">
        <v>700</v>
      </c>
    </row>
    <row r="176" spans="1:9">
      <c r="A176" s="2" t="s">
        <v>2560</v>
      </c>
      <c r="B176" s="2" t="s">
        <v>1211</v>
      </c>
      <c r="C176" s="2" t="s">
        <v>3293</v>
      </c>
      <c r="D176" s="2" t="s">
        <v>3294</v>
      </c>
      <c r="E176" s="2" t="s">
        <v>779</v>
      </c>
      <c r="F176" s="2" t="s">
        <v>3295</v>
      </c>
      <c r="G176" s="2" t="s">
        <v>8</v>
      </c>
      <c r="H176" s="2" t="s">
        <v>698</v>
      </c>
      <c r="I176" s="2" t="s">
        <v>712</v>
      </c>
    </row>
    <row r="177" spans="1:11">
      <c r="A177" s="2" t="s">
        <v>2560</v>
      </c>
      <c r="B177" s="2" t="s">
        <v>2513</v>
      </c>
      <c r="C177" s="2" t="s">
        <v>3296</v>
      </c>
      <c r="D177" s="2" t="s">
        <v>3297</v>
      </c>
      <c r="E177" s="2" t="s">
        <v>780</v>
      </c>
      <c r="F177" s="2" t="s">
        <v>3298</v>
      </c>
      <c r="G177" s="2" t="s">
        <v>8</v>
      </c>
      <c r="H177" s="2" t="s">
        <v>179</v>
      </c>
      <c r="I177" s="2" t="s">
        <v>18</v>
      </c>
    </row>
    <row r="178" spans="1:11">
      <c r="A178" s="2" t="s">
        <v>2560</v>
      </c>
      <c r="B178" s="2" t="s">
        <v>3299</v>
      </c>
      <c r="C178" s="2" t="s">
        <v>3300</v>
      </c>
      <c r="D178" s="2" t="s">
        <v>3301</v>
      </c>
      <c r="E178" s="2" t="s">
        <v>3302</v>
      </c>
      <c r="F178" s="2" t="s">
        <v>3303</v>
      </c>
      <c r="G178" s="2" t="s">
        <v>8</v>
      </c>
      <c r="H178" s="2">
        <v>46</v>
      </c>
      <c r="I178" s="2" t="s">
        <v>700</v>
      </c>
    </row>
    <row r="179" spans="1:11">
      <c r="A179" s="2" t="s">
        <v>2560</v>
      </c>
      <c r="B179" s="2" t="s">
        <v>1254</v>
      </c>
      <c r="C179" s="2" t="s">
        <v>3304</v>
      </c>
      <c r="D179" s="2" t="s">
        <v>3305</v>
      </c>
      <c r="E179" s="2" t="s">
        <v>781</v>
      </c>
      <c r="F179" s="2" t="s">
        <v>3306</v>
      </c>
      <c r="G179" s="2" t="s">
        <v>8</v>
      </c>
      <c r="H179" s="2">
        <v>46</v>
      </c>
      <c r="I179" s="2" t="s">
        <v>712</v>
      </c>
    </row>
    <row r="180" spans="1:11">
      <c r="A180" s="2" t="s">
        <v>2560</v>
      </c>
      <c r="B180" s="2" t="s">
        <v>1221</v>
      </c>
      <c r="C180" s="2" t="s">
        <v>3307</v>
      </c>
      <c r="D180" s="2" t="s">
        <v>3308</v>
      </c>
      <c r="E180" s="2" t="s">
        <v>782</v>
      </c>
      <c r="F180" s="2" t="s">
        <v>3309</v>
      </c>
      <c r="G180" s="2" t="s">
        <v>8</v>
      </c>
      <c r="H180" s="2">
        <v>46</v>
      </c>
      <c r="I180" s="2" t="s">
        <v>700</v>
      </c>
    </row>
    <row r="181" spans="1:11">
      <c r="A181" s="2" t="s">
        <v>2560</v>
      </c>
      <c r="B181" s="2" t="s">
        <v>1282</v>
      </c>
      <c r="C181" s="2" t="s">
        <v>2705</v>
      </c>
      <c r="D181" s="2" t="s">
        <v>3310</v>
      </c>
      <c r="E181" s="2" t="s">
        <v>783</v>
      </c>
      <c r="F181" s="2" t="s">
        <v>3311</v>
      </c>
      <c r="G181" s="2" t="s">
        <v>8</v>
      </c>
      <c r="H181" s="2" t="s">
        <v>698</v>
      </c>
      <c r="I181" s="2" t="s">
        <v>712</v>
      </c>
    </row>
    <row r="182" spans="1:11">
      <c r="A182" s="2" t="s">
        <v>2560</v>
      </c>
      <c r="B182" s="2" t="s">
        <v>1321</v>
      </c>
      <c r="C182" s="2" t="s">
        <v>3312</v>
      </c>
      <c r="D182" s="2" t="s">
        <v>3313</v>
      </c>
      <c r="E182" s="2" t="s">
        <v>784</v>
      </c>
      <c r="F182" s="2" t="s">
        <v>3314</v>
      </c>
      <c r="G182" s="2" t="s">
        <v>8</v>
      </c>
      <c r="H182" s="2" t="s">
        <v>698</v>
      </c>
      <c r="I182" s="2" t="s">
        <v>700</v>
      </c>
    </row>
    <row r="183" spans="1:11">
      <c r="A183" s="2" t="s">
        <v>2560</v>
      </c>
      <c r="B183" s="2" t="s">
        <v>3320</v>
      </c>
      <c r="C183" s="2" t="s">
        <v>3321</v>
      </c>
      <c r="D183" s="2" t="s">
        <v>3322</v>
      </c>
      <c r="E183" s="2" t="s">
        <v>785</v>
      </c>
      <c r="F183" s="2" t="s">
        <v>3323</v>
      </c>
      <c r="G183" s="2" t="s">
        <v>7</v>
      </c>
      <c r="H183" s="2" t="s">
        <v>695</v>
      </c>
      <c r="I183" s="2" t="s">
        <v>15</v>
      </c>
      <c r="K183" s="21" t="s">
        <v>25</v>
      </c>
    </row>
    <row r="184" spans="1:11">
      <c r="A184" s="2" t="s">
        <v>2560</v>
      </c>
      <c r="B184" s="2" t="s">
        <v>3324</v>
      </c>
      <c r="C184" s="2" t="s">
        <v>3325</v>
      </c>
      <c r="D184" s="2" t="s">
        <v>3326</v>
      </c>
      <c r="E184" s="2" t="s">
        <v>3327</v>
      </c>
      <c r="F184" s="2" t="s">
        <v>3328</v>
      </c>
      <c r="G184" s="2" t="s">
        <v>7</v>
      </c>
      <c r="H184" s="2" t="s">
        <v>691</v>
      </c>
      <c r="I184" s="2" t="s">
        <v>16</v>
      </c>
    </row>
    <row r="185" spans="1:11">
      <c r="A185" s="2" t="s">
        <v>2560</v>
      </c>
      <c r="B185" s="2" t="s">
        <v>3329</v>
      </c>
      <c r="C185" s="2" t="s">
        <v>2669</v>
      </c>
      <c r="D185" s="2" t="s">
        <v>3330</v>
      </c>
      <c r="E185" s="2" t="s">
        <v>3331</v>
      </c>
      <c r="F185" s="2" t="s">
        <v>3332</v>
      </c>
      <c r="G185" s="2" t="s">
        <v>7</v>
      </c>
      <c r="H185" s="2" t="s">
        <v>695</v>
      </c>
      <c r="I185" s="2" t="s">
        <v>16</v>
      </c>
    </row>
    <row r="186" spans="1:11">
      <c r="A186" s="2" t="s">
        <v>2560</v>
      </c>
      <c r="B186" s="2" t="s">
        <v>3333</v>
      </c>
      <c r="C186" s="2" t="s">
        <v>3334</v>
      </c>
      <c r="D186" s="2" t="s">
        <v>3335</v>
      </c>
      <c r="E186" s="2" t="s">
        <v>3336</v>
      </c>
      <c r="F186" s="2" t="s">
        <v>3337</v>
      </c>
      <c r="G186" s="2" t="s">
        <v>8</v>
      </c>
      <c r="H186" s="2" t="s">
        <v>698</v>
      </c>
      <c r="I186" s="2" t="s">
        <v>770</v>
      </c>
    </row>
    <row r="187" spans="1:11">
      <c r="A187" s="2" t="s">
        <v>2560</v>
      </c>
      <c r="B187" s="2" t="s">
        <v>3338</v>
      </c>
      <c r="C187" s="2" t="s">
        <v>3339</v>
      </c>
      <c r="D187" s="2" t="s">
        <v>3340</v>
      </c>
      <c r="E187" s="2" t="s">
        <v>786</v>
      </c>
      <c r="F187" s="2" t="s">
        <v>3341</v>
      </c>
      <c r="G187" s="2" t="s">
        <v>7</v>
      </c>
      <c r="H187" s="2" t="s">
        <v>691</v>
      </c>
      <c r="I187" s="2" t="s">
        <v>15</v>
      </c>
    </row>
    <row r="188" spans="1:11">
      <c r="A188" s="2" t="s">
        <v>2560</v>
      </c>
      <c r="B188" s="2" t="s">
        <v>863</v>
      </c>
      <c r="C188" s="2" t="s">
        <v>3342</v>
      </c>
      <c r="D188" s="2" t="s">
        <v>3343</v>
      </c>
      <c r="E188" s="2" t="s">
        <v>787</v>
      </c>
      <c r="F188" s="2" t="s">
        <v>3344</v>
      </c>
      <c r="G188" s="2" t="s">
        <v>8</v>
      </c>
      <c r="H188" s="2" t="s">
        <v>691</v>
      </c>
      <c r="I188" s="2" t="s">
        <v>18</v>
      </c>
    </row>
    <row r="189" spans="1:11">
      <c r="A189" s="2" t="s">
        <v>2560</v>
      </c>
      <c r="B189" s="2" t="s">
        <v>3345</v>
      </c>
      <c r="C189" s="2" t="s">
        <v>3346</v>
      </c>
      <c r="D189" s="2" t="s">
        <v>3347</v>
      </c>
      <c r="E189" s="2" t="s">
        <v>788</v>
      </c>
      <c r="F189" s="2" t="s">
        <v>3348</v>
      </c>
      <c r="G189" s="2" t="s">
        <v>7</v>
      </c>
      <c r="H189" s="2" t="s">
        <v>691</v>
      </c>
      <c r="I189" s="2" t="s">
        <v>15</v>
      </c>
    </row>
    <row r="190" spans="1:11">
      <c r="A190" s="2" t="s">
        <v>2560</v>
      </c>
      <c r="B190" s="2" t="s">
        <v>3349</v>
      </c>
      <c r="C190" s="2" t="s">
        <v>2666</v>
      </c>
      <c r="D190" s="2" t="s">
        <v>3350</v>
      </c>
      <c r="E190" s="2" t="s">
        <v>788</v>
      </c>
      <c r="F190" s="2" t="s">
        <v>3351</v>
      </c>
      <c r="G190" s="2" t="s">
        <v>7</v>
      </c>
      <c r="H190" s="2">
        <v>46</v>
      </c>
      <c r="I190" s="2" t="s">
        <v>16</v>
      </c>
    </row>
    <row r="191" spans="1:11">
      <c r="A191" s="2" t="s">
        <v>2560</v>
      </c>
      <c r="B191" s="2" t="s">
        <v>3352</v>
      </c>
      <c r="C191" s="2" t="s">
        <v>3353</v>
      </c>
      <c r="D191" s="2" t="s">
        <v>3354</v>
      </c>
      <c r="E191" s="2" t="s">
        <v>715</v>
      </c>
      <c r="F191" s="2" t="s">
        <v>3355</v>
      </c>
      <c r="G191" s="2" t="s">
        <v>7</v>
      </c>
      <c r="H191" s="2" t="s">
        <v>698</v>
      </c>
      <c r="I191" s="2" t="s">
        <v>712</v>
      </c>
    </row>
    <row r="192" spans="1:11">
      <c r="A192" s="2" t="s">
        <v>2560</v>
      </c>
      <c r="B192" s="2" t="s">
        <v>3356</v>
      </c>
      <c r="C192" s="2" t="s">
        <v>3357</v>
      </c>
      <c r="D192" s="2" t="s">
        <v>3358</v>
      </c>
      <c r="E192" s="2" t="s">
        <v>789</v>
      </c>
      <c r="F192" s="2" t="s">
        <v>3359</v>
      </c>
      <c r="G192" s="2" t="s">
        <v>7</v>
      </c>
      <c r="H192" s="2" t="s">
        <v>691</v>
      </c>
      <c r="I192" s="2" t="s">
        <v>712</v>
      </c>
    </row>
    <row r="193" spans="1:9">
      <c r="A193" s="2" t="s">
        <v>2560</v>
      </c>
      <c r="B193" s="2" t="s">
        <v>3360</v>
      </c>
      <c r="C193" s="2" t="s">
        <v>3109</v>
      </c>
      <c r="D193" s="2" t="s">
        <v>3361</v>
      </c>
      <c r="E193" s="2" t="s">
        <v>789</v>
      </c>
      <c r="F193" s="2" t="s">
        <v>3362</v>
      </c>
      <c r="G193" s="2" t="s">
        <v>7</v>
      </c>
      <c r="H193" s="2">
        <v>46</v>
      </c>
      <c r="I193" s="2" t="s">
        <v>15</v>
      </c>
    </row>
    <row r="194" spans="1:9">
      <c r="A194" s="2" t="s">
        <v>2560</v>
      </c>
      <c r="B194" s="2" t="s">
        <v>3363</v>
      </c>
      <c r="C194" s="2" t="s">
        <v>2666</v>
      </c>
      <c r="D194" s="2" t="s">
        <v>3364</v>
      </c>
      <c r="E194" s="2" t="s">
        <v>790</v>
      </c>
      <c r="F194" s="2" t="s">
        <v>3365</v>
      </c>
      <c r="G194" s="2" t="s">
        <v>7</v>
      </c>
      <c r="H194" s="2" t="s">
        <v>179</v>
      </c>
      <c r="I194" s="2" t="s">
        <v>712</v>
      </c>
    </row>
    <row r="195" spans="1:9">
      <c r="A195" s="2" t="s">
        <v>2560</v>
      </c>
      <c r="B195" s="2" t="s">
        <v>3366</v>
      </c>
      <c r="C195" s="2" t="s">
        <v>3367</v>
      </c>
      <c r="D195" s="2" t="s">
        <v>3242</v>
      </c>
      <c r="E195" s="2" t="s">
        <v>3368</v>
      </c>
      <c r="F195" s="2" t="s">
        <v>3369</v>
      </c>
      <c r="G195" s="2" t="s">
        <v>8</v>
      </c>
      <c r="H195" s="2" t="s">
        <v>695</v>
      </c>
      <c r="I195" s="2" t="s">
        <v>16</v>
      </c>
    </row>
    <row r="196" spans="1:9">
      <c r="A196" s="2" t="s">
        <v>2560</v>
      </c>
      <c r="B196" s="2" t="s">
        <v>3370</v>
      </c>
      <c r="C196" s="2" t="s">
        <v>3371</v>
      </c>
      <c r="D196" s="2" t="s">
        <v>3372</v>
      </c>
      <c r="E196" s="2" t="s">
        <v>791</v>
      </c>
      <c r="F196" s="2" t="s">
        <v>3373</v>
      </c>
      <c r="G196" s="2" t="s">
        <v>7</v>
      </c>
      <c r="H196" s="2" t="s">
        <v>179</v>
      </c>
      <c r="I196" s="2" t="s">
        <v>25</v>
      </c>
    </row>
    <row r="197" spans="1:9">
      <c r="A197" s="2" t="s">
        <v>2560</v>
      </c>
      <c r="B197" s="2" t="s">
        <v>3374</v>
      </c>
      <c r="C197" s="2" t="s">
        <v>2767</v>
      </c>
      <c r="D197" s="2" t="s">
        <v>3375</v>
      </c>
      <c r="E197" s="2" t="s">
        <v>808</v>
      </c>
      <c r="F197" s="2" t="s">
        <v>3376</v>
      </c>
      <c r="G197" s="2" t="s">
        <v>7</v>
      </c>
      <c r="H197" s="2">
        <v>46</v>
      </c>
      <c r="I197" s="2" t="s">
        <v>15</v>
      </c>
    </row>
    <row r="198" spans="1:9">
      <c r="A198" s="2" t="s">
        <v>2560</v>
      </c>
      <c r="B198" s="2" t="s">
        <v>3377</v>
      </c>
      <c r="C198" s="2" t="s">
        <v>3378</v>
      </c>
      <c r="D198" s="2" t="s">
        <v>3379</v>
      </c>
      <c r="E198" s="2" t="s">
        <v>809</v>
      </c>
      <c r="F198" s="2" t="s">
        <v>3380</v>
      </c>
      <c r="G198" s="2" t="s">
        <v>8</v>
      </c>
      <c r="H198" s="2" t="s">
        <v>698</v>
      </c>
      <c r="I198" s="2" t="s">
        <v>15</v>
      </c>
    </row>
    <row r="199" spans="1:9">
      <c r="A199" s="2" t="s">
        <v>2560</v>
      </c>
      <c r="B199" s="2" t="s">
        <v>3381</v>
      </c>
      <c r="C199" s="2" t="s">
        <v>3083</v>
      </c>
      <c r="D199" s="2" t="s">
        <v>3382</v>
      </c>
      <c r="E199" s="2" t="s">
        <v>809</v>
      </c>
      <c r="F199" s="2" t="s">
        <v>3383</v>
      </c>
      <c r="G199" s="2" t="s">
        <v>7</v>
      </c>
      <c r="H199" s="2">
        <v>46</v>
      </c>
      <c r="I199" s="2" t="s">
        <v>16</v>
      </c>
    </row>
    <row r="200" spans="1:9">
      <c r="A200" s="2" t="s">
        <v>2560</v>
      </c>
      <c r="B200" s="2" t="s">
        <v>3384</v>
      </c>
      <c r="C200" s="2" t="s">
        <v>3385</v>
      </c>
      <c r="D200" s="2" t="s">
        <v>2666</v>
      </c>
      <c r="E200" s="2" t="s">
        <v>258</v>
      </c>
      <c r="F200" s="2" t="s">
        <v>3386</v>
      </c>
      <c r="G200" s="2" t="s">
        <v>7</v>
      </c>
      <c r="H200" s="2" t="s">
        <v>698</v>
      </c>
      <c r="I200" s="2" t="s">
        <v>15</v>
      </c>
    </row>
    <row r="201" spans="1:9">
      <c r="A201" s="2" t="s">
        <v>2560</v>
      </c>
      <c r="B201" s="2" t="s">
        <v>3387</v>
      </c>
      <c r="C201" s="2" t="s">
        <v>3388</v>
      </c>
      <c r="D201" s="2" t="s">
        <v>3389</v>
      </c>
      <c r="E201" s="2" t="s">
        <v>809</v>
      </c>
      <c r="F201" s="2" t="s">
        <v>3390</v>
      </c>
      <c r="G201" s="2" t="s">
        <v>7</v>
      </c>
      <c r="H201" s="2" t="s">
        <v>698</v>
      </c>
      <c r="I201" s="2" t="s">
        <v>15</v>
      </c>
    </row>
    <row r="202" spans="1:9">
      <c r="A202" s="2" t="s">
        <v>2560</v>
      </c>
      <c r="B202" s="2" t="s">
        <v>3391</v>
      </c>
      <c r="C202" s="2" t="s">
        <v>3392</v>
      </c>
      <c r="D202" s="2" t="s">
        <v>3393</v>
      </c>
      <c r="E202" s="2" t="s">
        <v>792</v>
      </c>
      <c r="F202" s="2" t="s">
        <v>3394</v>
      </c>
      <c r="G202" s="2" t="s">
        <v>8</v>
      </c>
      <c r="H202" s="2" t="s">
        <v>179</v>
      </c>
      <c r="I202" s="2" t="s">
        <v>18</v>
      </c>
    </row>
    <row r="203" spans="1:9">
      <c r="A203" s="2" t="s">
        <v>2560</v>
      </c>
      <c r="B203" s="2" t="s">
        <v>3400</v>
      </c>
      <c r="C203" s="2" t="s">
        <v>2803</v>
      </c>
      <c r="D203" s="2" t="s">
        <v>2804</v>
      </c>
      <c r="E203" s="2" t="s">
        <v>793</v>
      </c>
      <c r="F203" s="2" t="s">
        <v>2806</v>
      </c>
      <c r="G203" s="2" t="s">
        <v>8</v>
      </c>
      <c r="H203" s="2" t="s">
        <v>695</v>
      </c>
      <c r="I203" s="2" t="s">
        <v>18</v>
      </c>
    </row>
    <row r="204" spans="1:9">
      <c r="A204" s="2" t="s">
        <v>2560</v>
      </c>
      <c r="B204" s="2" t="s">
        <v>3401</v>
      </c>
      <c r="C204" s="2" t="s">
        <v>3402</v>
      </c>
      <c r="D204" s="2" t="s">
        <v>3403</v>
      </c>
      <c r="E204" s="2" t="s">
        <v>809</v>
      </c>
      <c r="F204" s="2" t="s">
        <v>3404</v>
      </c>
      <c r="G204" s="2" t="s">
        <v>7</v>
      </c>
      <c r="H204" s="2">
        <v>46</v>
      </c>
      <c r="I204" s="2" t="s">
        <v>15</v>
      </c>
    </row>
    <row r="205" spans="1:9">
      <c r="A205" s="2" t="s">
        <v>2560</v>
      </c>
      <c r="B205" s="2" t="s">
        <v>3405</v>
      </c>
      <c r="C205" s="2" t="s">
        <v>3406</v>
      </c>
      <c r="D205" s="2" t="s">
        <v>3407</v>
      </c>
      <c r="E205" s="2" t="s">
        <v>809</v>
      </c>
      <c r="F205" s="2" t="s">
        <v>3408</v>
      </c>
      <c r="G205" s="2" t="s">
        <v>8</v>
      </c>
      <c r="H205" s="2" t="s">
        <v>691</v>
      </c>
      <c r="I205" s="2" t="s">
        <v>15</v>
      </c>
    </row>
    <row r="206" spans="1:9">
      <c r="A206" s="2" t="s">
        <v>2560</v>
      </c>
      <c r="B206" s="2" t="s">
        <v>3409</v>
      </c>
      <c r="C206" s="2" t="s">
        <v>2666</v>
      </c>
      <c r="D206" s="2" t="s">
        <v>3410</v>
      </c>
      <c r="E206" s="2" t="s">
        <v>3411</v>
      </c>
      <c r="F206" s="2" t="s">
        <v>3412</v>
      </c>
      <c r="G206" s="2" t="s">
        <v>7</v>
      </c>
      <c r="H206" s="2" t="s">
        <v>691</v>
      </c>
      <c r="I206" s="2" t="s">
        <v>15</v>
      </c>
    </row>
    <row r="207" spans="1:9">
      <c r="A207" s="2" t="s">
        <v>2560</v>
      </c>
      <c r="B207" s="2" t="s">
        <v>3413</v>
      </c>
      <c r="C207" s="2" t="s">
        <v>3414</v>
      </c>
      <c r="D207" s="2" t="s">
        <v>3415</v>
      </c>
      <c r="E207" s="2" t="s">
        <v>808</v>
      </c>
      <c r="F207" s="2" t="s">
        <v>3416</v>
      </c>
      <c r="G207" s="2" t="s">
        <v>7</v>
      </c>
      <c r="H207" s="2">
        <v>46</v>
      </c>
      <c r="I207" s="2" t="s">
        <v>15</v>
      </c>
    </row>
    <row r="208" spans="1:9">
      <c r="A208" s="2" t="s">
        <v>2560</v>
      </c>
      <c r="B208" s="2" t="s">
        <v>3417</v>
      </c>
      <c r="C208" s="2" t="s">
        <v>3418</v>
      </c>
      <c r="D208" s="2" t="s">
        <v>3419</v>
      </c>
      <c r="E208" s="2" t="s">
        <v>794</v>
      </c>
      <c r="F208" s="2" t="s">
        <v>3420</v>
      </c>
      <c r="G208" s="2" t="s">
        <v>8</v>
      </c>
      <c r="H208" s="2" t="s">
        <v>691</v>
      </c>
      <c r="I208" s="2" t="s">
        <v>15</v>
      </c>
    </row>
    <row r="209" spans="1:9">
      <c r="A209" s="2" t="s">
        <v>2560</v>
      </c>
      <c r="B209" s="2" t="s">
        <v>2428</v>
      </c>
      <c r="C209" s="2" t="s">
        <v>3421</v>
      </c>
      <c r="D209" s="2" t="s">
        <v>3422</v>
      </c>
      <c r="E209" s="2" t="s">
        <v>795</v>
      </c>
      <c r="F209" s="2" t="s">
        <v>3423</v>
      </c>
      <c r="G209" s="2" t="s">
        <v>8</v>
      </c>
      <c r="H209" s="2" t="s">
        <v>691</v>
      </c>
      <c r="I209" s="2" t="s">
        <v>15</v>
      </c>
    </row>
    <row r="210" spans="1:9">
      <c r="A210" s="2" t="s">
        <v>2560</v>
      </c>
      <c r="B210" s="2" t="s">
        <v>931</v>
      </c>
      <c r="C210" s="2" t="s">
        <v>3424</v>
      </c>
      <c r="D210" s="2" t="s">
        <v>3425</v>
      </c>
      <c r="E210" s="2" t="s">
        <v>796</v>
      </c>
      <c r="F210" s="2" t="s">
        <v>3426</v>
      </c>
      <c r="G210" s="2" t="s">
        <v>8</v>
      </c>
      <c r="H210" s="2" t="s">
        <v>691</v>
      </c>
      <c r="I210" s="2" t="s">
        <v>18</v>
      </c>
    </row>
    <row r="211" spans="1:9">
      <c r="A211" s="2" t="s">
        <v>2560</v>
      </c>
      <c r="B211" s="2" t="s">
        <v>3427</v>
      </c>
      <c r="C211" s="2" t="s">
        <v>2995</v>
      </c>
      <c r="D211" s="2" t="s">
        <v>3428</v>
      </c>
      <c r="E211" s="2" t="s">
        <v>809</v>
      </c>
      <c r="F211" s="2" t="s">
        <v>3429</v>
      </c>
      <c r="G211" s="2" t="s">
        <v>8</v>
      </c>
      <c r="H211" s="2" t="s">
        <v>698</v>
      </c>
      <c r="I211" s="2" t="s">
        <v>15</v>
      </c>
    </row>
    <row r="212" spans="1:9">
      <c r="A212" s="2" t="s">
        <v>2560</v>
      </c>
      <c r="B212" s="2" t="s">
        <v>3430</v>
      </c>
      <c r="C212" s="2" t="s">
        <v>3113</v>
      </c>
      <c r="D212" s="2" t="s">
        <v>3191</v>
      </c>
      <c r="E212" s="2" t="s">
        <v>2585</v>
      </c>
      <c r="F212" s="2" t="s">
        <v>3431</v>
      </c>
      <c r="G212" s="2" t="s">
        <v>7</v>
      </c>
      <c r="H212" s="2" t="s">
        <v>179</v>
      </c>
      <c r="I212" s="2" t="s">
        <v>15</v>
      </c>
    </row>
    <row r="213" spans="1:9">
      <c r="A213" s="2" t="s">
        <v>2560</v>
      </c>
      <c r="B213" s="2" t="s">
        <v>3432</v>
      </c>
      <c r="C213" s="2" t="s">
        <v>3433</v>
      </c>
      <c r="D213" s="2" t="s">
        <v>3434</v>
      </c>
      <c r="E213" s="2" t="s">
        <v>809</v>
      </c>
      <c r="F213" s="2" t="s">
        <v>3435</v>
      </c>
      <c r="G213" s="2" t="s">
        <v>7</v>
      </c>
      <c r="H213" s="2">
        <v>46</v>
      </c>
      <c r="I213" s="2" t="s">
        <v>15</v>
      </c>
    </row>
    <row r="214" spans="1:9">
      <c r="A214" s="2" t="s">
        <v>2560</v>
      </c>
      <c r="B214" s="2" t="s">
        <v>3436</v>
      </c>
      <c r="C214" s="2" t="s">
        <v>3437</v>
      </c>
      <c r="D214" s="2" t="s">
        <v>3438</v>
      </c>
      <c r="E214" s="2" t="s">
        <v>809</v>
      </c>
      <c r="F214" s="2" t="s">
        <v>3439</v>
      </c>
      <c r="G214" s="2" t="s">
        <v>8</v>
      </c>
      <c r="H214" s="2" t="s">
        <v>698</v>
      </c>
      <c r="I214" s="2" t="s">
        <v>15</v>
      </c>
    </row>
    <row r="215" spans="1:9">
      <c r="A215" s="2" t="s">
        <v>2560</v>
      </c>
      <c r="B215" s="2" t="s">
        <v>3449</v>
      </c>
      <c r="C215" s="2" t="s">
        <v>3450</v>
      </c>
      <c r="D215" s="2" t="s">
        <v>3451</v>
      </c>
      <c r="E215" s="2" t="s">
        <v>3114</v>
      </c>
      <c r="F215" s="2" t="s">
        <v>3452</v>
      </c>
      <c r="G215" s="2" t="s">
        <v>7</v>
      </c>
      <c r="H215" s="2" t="s">
        <v>698</v>
      </c>
      <c r="I215" s="2" t="s">
        <v>15</v>
      </c>
    </row>
    <row r="216" spans="1:9">
      <c r="A216" s="2" t="s">
        <v>2560</v>
      </c>
      <c r="B216" s="2" t="s">
        <v>3453</v>
      </c>
      <c r="C216" s="2" t="s">
        <v>3454</v>
      </c>
      <c r="D216" s="2" t="s">
        <v>3455</v>
      </c>
      <c r="E216" s="2" t="s">
        <v>3114</v>
      </c>
      <c r="F216" s="2" t="s">
        <v>3456</v>
      </c>
      <c r="G216" s="2" t="s">
        <v>8</v>
      </c>
      <c r="H216" s="2" t="s">
        <v>698</v>
      </c>
      <c r="I216" s="2" t="s">
        <v>15</v>
      </c>
    </row>
    <row r="217" spans="1:9">
      <c r="A217" s="2" t="s">
        <v>2560</v>
      </c>
      <c r="B217" s="2" t="s">
        <v>3457</v>
      </c>
      <c r="C217" s="2" t="s">
        <v>2897</v>
      </c>
      <c r="D217" s="2" t="s">
        <v>3458</v>
      </c>
      <c r="E217" s="2" t="s">
        <v>3114</v>
      </c>
      <c r="F217" s="2" t="s">
        <v>3459</v>
      </c>
      <c r="G217" s="2" t="s">
        <v>7</v>
      </c>
      <c r="H217" s="2" t="s">
        <v>695</v>
      </c>
      <c r="I217" s="2" t="s">
        <v>15</v>
      </c>
    </row>
    <row r="218" spans="1:9">
      <c r="A218" s="2" t="s">
        <v>2560</v>
      </c>
      <c r="B218" s="2" t="s">
        <v>2125</v>
      </c>
      <c r="C218" s="2" t="s">
        <v>2610</v>
      </c>
      <c r="D218" s="2" t="s">
        <v>3470</v>
      </c>
      <c r="E218" s="2" t="s">
        <v>797</v>
      </c>
      <c r="F218" s="2" t="s">
        <v>3471</v>
      </c>
      <c r="G218" s="2" t="s">
        <v>8</v>
      </c>
      <c r="H218" s="2" t="s">
        <v>695</v>
      </c>
      <c r="I218" s="2" t="s">
        <v>18</v>
      </c>
    </row>
    <row r="219" spans="1:9">
      <c r="A219" s="2" t="s">
        <v>2560</v>
      </c>
      <c r="B219" s="2" t="s">
        <v>1350</v>
      </c>
      <c r="C219" s="2" t="s">
        <v>3476</v>
      </c>
      <c r="D219" s="2" t="s">
        <v>3477</v>
      </c>
      <c r="E219" s="2" t="s">
        <v>3478</v>
      </c>
      <c r="F219" s="2" t="s">
        <v>3479</v>
      </c>
      <c r="G219" s="2" t="s">
        <v>8</v>
      </c>
      <c r="H219" s="2" t="s">
        <v>695</v>
      </c>
      <c r="I219" s="2" t="s">
        <v>23</v>
      </c>
    </row>
    <row r="220" spans="1:9">
      <c r="A220" s="2" t="s">
        <v>2560</v>
      </c>
      <c r="B220" s="2" t="s">
        <v>2031</v>
      </c>
      <c r="C220" s="2" t="s">
        <v>3275</v>
      </c>
      <c r="D220" s="2" t="s">
        <v>3480</v>
      </c>
      <c r="E220" s="2" t="s">
        <v>798</v>
      </c>
      <c r="F220" s="2" t="s">
        <v>3481</v>
      </c>
      <c r="G220" s="2" t="s">
        <v>7</v>
      </c>
      <c r="H220" s="2" t="s">
        <v>691</v>
      </c>
      <c r="I220" s="2" t="s">
        <v>16</v>
      </c>
    </row>
    <row r="221" spans="1:9">
      <c r="A221" s="2" t="s">
        <v>2560</v>
      </c>
      <c r="B221" s="2" t="s">
        <v>2444</v>
      </c>
      <c r="C221" s="2" t="s">
        <v>2791</v>
      </c>
      <c r="D221" s="2" t="s">
        <v>3482</v>
      </c>
      <c r="E221" s="2" t="s">
        <v>799</v>
      </c>
      <c r="F221" s="2" t="s">
        <v>3483</v>
      </c>
      <c r="G221" s="2" t="s">
        <v>8</v>
      </c>
      <c r="H221" s="2" t="s">
        <v>698</v>
      </c>
      <c r="I221" s="2" t="s">
        <v>18</v>
      </c>
    </row>
    <row r="222" spans="1:9">
      <c r="A222" s="2" t="s">
        <v>2560</v>
      </c>
      <c r="B222" s="2" t="s">
        <v>3484</v>
      </c>
      <c r="C222" s="2" t="s">
        <v>3485</v>
      </c>
      <c r="D222" s="2" t="s">
        <v>3486</v>
      </c>
      <c r="E222" s="2" t="s">
        <v>800</v>
      </c>
      <c r="F222" s="2" t="s">
        <v>3487</v>
      </c>
      <c r="G222" s="2" t="s">
        <v>8</v>
      </c>
      <c r="H222" s="2" t="s">
        <v>695</v>
      </c>
      <c r="I222" s="2" t="s">
        <v>700</v>
      </c>
    </row>
    <row r="223" spans="1:9">
      <c r="A223" s="2" t="s">
        <v>2560</v>
      </c>
      <c r="B223" s="2" t="s">
        <v>3488</v>
      </c>
      <c r="C223" s="2" t="s">
        <v>3489</v>
      </c>
      <c r="D223" s="2" t="s">
        <v>3490</v>
      </c>
      <c r="E223" s="2" t="s">
        <v>801</v>
      </c>
      <c r="F223" s="2" t="s">
        <v>3491</v>
      </c>
      <c r="G223" s="2" t="s">
        <v>7</v>
      </c>
      <c r="H223" s="2" t="s">
        <v>691</v>
      </c>
      <c r="I223" s="2" t="s">
        <v>15</v>
      </c>
    </row>
    <row r="224" spans="1:9">
      <c r="A224" s="2" t="s">
        <v>2560</v>
      </c>
      <c r="B224" s="2" t="s">
        <v>3492</v>
      </c>
      <c r="C224" s="2" t="s">
        <v>3493</v>
      </c>
      <c r="D224" s="2" t="s">
        <v>3494</v>
      </c>
      <c r="E224" s="2" t="s">
        <v>802</v>
      </c>
      <c r="F224" s="2" t="s">
        <v>3495</v>
      </c>
      <c r="G224" s="2" t="s">
        <v>8</v>
      </c>
      <c r="H224" s="2">
        <v>46</v>
      </c>
      <c r="I224" s="2" t="s">
        <v>729</v>
      </c>
    </row>
    <row r="225" spans="1:9">
      <c r="A225" s="2" t="s">
        <v>2560</v>
      </c>
      <c r="B225" s="2" t="s">
        <v>3500</v>
      </c>
      <c r="C225" s="2" t="s">
        <v>3501</v>
      </c>
      <c r="D225" s="2" t="s">
        <v>3502</v>
      </c>
      <c r="E225" s="2" t="s">
        <v>803</v>
      </c>
      <c r="F225" s="2" t="s">
        <v>3503</v>
      </c>
      <c r="G225" s="2" t="s">
        <v>7</v>
      </c>
      <c r="H225" s="2" t="s">
        <v>695</v>
      </c>
      <c r="I225" s="2" t="s">
        <v>23</v>
      </c>
    </row>
    <row r="226" spans="1:9">
      <c r="A226" s="2" t="s">
        <v>2560</v>
      </c>
      <c r="B226" s="2" t="s">
        <v>1179</v>
      </c>
      <c r="C226" s="2" t="s">
        <v>3396</v>
      </c>
      <c r="D226" s="2" t="s">
        <v>3504</v>
      </c>
      <c r="E226" s="2" t="s">
        <v>804</v>
      </c>
      <c r="F226" s="2" t="s">
        <v>3505</v>
      </c>
      <c r="G226" s="2" t="s">
        <v>8</v>
      </c>
      <c r="H226" s="2" t="s">
        <v>691</v>
      </c>
      <c r="I226" s="2" t="s">
        <v>729</v>
      </c>
    </row>
    <row r="227" spans="1:9">
      <c r="A227" s="2" t="s">
        <v>2560</v>
      </c>
      <c r="B227" s="2" t="s">
        <v>3506</v>
      </c>
      <c r="C227" s="2" t="s">
        <v>3472</v>
      </c>
      <c r="D227" s="2" t="s">
        <v>3322</v>
      </c>
      <c r="E227" s="2" t="s">
        <v>805</v>
      </c>
      <c r="F227" s="2" t="s">
        <v>3507</v>
      </c>
      <c r="G227" s="2" t="s">
        <v>8</v>
      </c>
      <c r="H227" s="2" t="s">
        <v>179</v>
      </c>
      <c r="I227" s="2" t="s">
        <v>18</v>
      </c>
    </row>
    <row r="228" spans="1:9">
      <c r="A228" s="2" t="s">
        <v>2560</v>
      </c>
      <c r="B228" s="2" t="s">
        <v>1346</v>
      </c>
      <c r="C228" s="2" t="s">
        <v>3508</v>
      </c>
      <c r="D228" s="2" t="s">
        <v>3509</v>
      </c>
      <c r="E228" s="2" t="s">
        <v>3510</v>
      </c>
      <c r="F228" s="2" t="s">
        <v>3511</v>
      </c>
      <c r="G228" s="2" t="s">
        <v>8</v>
      </c>
      <c r="H228" s="2" t="s">
        <v>691</v>
      </c>
      <c r="I228" s="2" t="s">
        <v>23</v>
      </c>
    </row>
    <row r="229" spans="1:9">
      <c r="A229" s="2" t="s">
        <v>2560</v>
      </c>
      <c r="B229" s="2" t="s">
        <v>3512</v>
      </c>
      <c r="C229" s="2" t="s">
        <v>2669</v>
      </c>
      <c r="D229" s="2" t="s">
        <v>3513</v>
      </c>
      <c r="E229" s="2" t="s">
        <v>724</v>
      </c>
      <c r="F229" s="2" t="s">
        <v>3514</v>
      </c>
      <c r="G229" s="2" t="s">
        <v>7</v>
      </c>
      <c r="H229" s="2" t="s">
        <v>179</v>
      </c>
      <c r="I229" s="2" t="s">
        <v>15</v>
      </c>
    </row>
    <row r="230" spans="1:9">
      <c r="A230" s="2" t="s">
        <v>2560</v>
      </c>
      <c r="B230" s="2" t="s">
        <v>2016</v>
      </c>
      <c r="C230" s="2" t="s">
        <v>3515</v>
      </c>
      <c r="D230" s="2" t="s">
        <v>3516</v>
      </c>
      <c r="E230" s="2" t="s">
        <v>806</v>
      </c>
      <c r="F230" s="2" t="s">
        <v>3517</v>
      </c>
      <c r="G230" s="2" t="s">
        <v>8</v>
      </c>
      <c r="H230" s="2" t="s">
        <v>691</v>
      </c>
      <c r="I230" s="2" t="s">
        <v>16</v>
      </c>
    </row>
    <row r="231" spans="1:9">
      <c r="A231" s="2" t="s">
        <v>2560</v>
      </c>
      <c r="B231" s="2" t="s">
        <v>3518</v>
      </c>
      <c r="C231" s="2" t="s">
        <v>3519</v>
      </c>
      <c r="D231" s="2" t="s">
        <v>3520</v>
      </c>
      <c r="E231" s="2" t="s">
        <v>807</v>
      </c>
      <c r="F231" s="2" t="s">
        <v>3521</v>
      </c>
      <c r="G231" s="2" t="s">
        <v>8</v>
      </c>
      <c r="H231" s="2">
        <v>46</v>
      </c>
      <c r="I231" s="2" t="s">
        <v>18</v>
      </c>
    </row>
    <row r="232" spans="1:9">
      <c r="A232" s="2" t="s">
        <v>2560</v>
      </c>
      <c r="B232" s="2" t="s">
        <v>1130</v>
      </c>
      <c r="C232" s="2" t="s">
        <v>2868</v>
      </c>
      <c r="D232" s="2" t="s">
        <v>3522</v>
      </c>
      <c r="E232" s="2" t="s">
        <v>2726</v>
      </c>
      <c r="F232" s="2" t="s">
        <v>2727</v>
      </c>
      <c r="G232" s="2" t="s">
        <v>7</v>
      </c>
      <c r="H232" s="2" t="s">
        <v>179</v>
      </c>
      <c r="I232" s="2" t="s">
        <v>15</v>
      </c>
    </row>
    <row r="233" spans="1:9">
      <c r="A233" s="2" t="s">
        <v>2560</v>
      </c>
      <c r="B233" s="2" t="s">
        <v>3523</v>
      </c>
      <c r="C233" s="2" t="s">
        <v>3524</v>
      </c>
      <c r="D233" s="2" t="s">
        <v>3525</v>
      </c>
      <c r="E233" s="2" t="s">
        <v>769</v>
      </c>
      <c r="F233" s="2" t="s">
        <v>3526</v>
      </c>
      <c r="G233" s="2" t="s">
        <v>7</v>
      </c>
      <c r="H233" s="2" t="s">
        <v>698</v>
      </c>
      <c r="I233" s="2" t="s">
        <v>15</v>
      </c>
    </row>
  </sheetData>
  <autoFilter ref="A1:I233" xr:uid="{00000000-0001-0000-0000-000000000000}"/>
  <conditionalFormatting sqref="E1:E1048576">
    <cfRule type="duplicateValues" dxfId="2" priority="3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D5A9-9A76-4526-916B-7EA43BE286BF}">
  <dimension ref="A1:F202"/>
  <sheetViews>
    <sheetView showOutlineSymbols="0" showWhiteSpace="0" zoomScale="55" zoomScaleNormal="55" workbookViewId="0">
      <pane ySplit="1" topLeftCell="A156" activePane="bottomLeft" state="frozen"/>
      <selection pane="bottomLeft" activeCell="H189" sqref="H189"/>
    </sheetView>
  </sheetViews>
  <sheetFormatPr baseColWidth="10" defaultColWidth="8.83203125" defaultRowHeight="14"/>
  <cols>
    <col min="1" max="1" width="9.83203125" bestFit="1" customWidth="1"/>
    <col min="2" max="2" width="38.1640625" customWidth="1"/>
    <col min="3" max="3" width="7.33203125" bestFit="1" customWidth="1"/>
    <col min="4" max="4" width="10.5" bestFit="1" customWidth="1"/>
    <col min="5" max="5" width="8.83203125" bestFit="1" customWidth="1"/>
    <col min="6" max="6" width="28.5" bestFit="1" customWidth="1"/>
  </cols>
  <sheetData>
    <row r="1" spans="1:6" ht="33.5" customHeight="1">
      <c r="A1" s="1" t="s">
        <v>826</v>
      </c>
      <c r="B1" s="1" t="s">
        <v>2539</v>
      </c>
      <c r="C1" s="1" t="s">
        <v>2541</v>
      </c>
      <c r="D1" s="1" t="s">
        <v>2542</v>
      </c>
      <c r="E1" s="1" t="s">
        <v>2543</v>
      </c>
      <c r="F1" s="6" t="s">
        <v>58</v>
      </c>
    </row>
    <row r="2" spans="1:6">
      <c r="A2" s="2" t="s">
        <v>2560</v>
      </c>
      <c r="B2" s="2" t="s">
        <v>2567</v>
      </c>
      <c r="C2" s="2" t="s">
        <v>8</v>
      </c>
      <c r="D2" s="2">
        <v>46</v>
      </c>
      <c r="E2" s="2" t="s">
        <v>729</v>
      </c>
      <c r="F2" s="8" t="s">
        <v>79</v>
      </c>
    </row>
    <row r="3" spans="1:6">
      <c r="A3" s="2" t="s">
        <v>2560</v>
      </c>
      <c r="B3" s="2" t="s">
        <v>2571</v>
      </c>
      <c r="C3" s="2" t="s">
        <v>8</v>
      </c>
      <c r="D3" s="2" t="s">
        <v>691</v>
      </c>
      <c r="E3" s="2" t="s">
        <v>18</v>
      </c>
      <c r="F3" s="8" t="s">
        <v>79</v>
      </c>
    </row>
    <row r="4" spans="1:6">
      <c r="A4" s="2" t="s">
        <v>2560</v>
      </c>
      <c r="B4" s="2" t="s">
        <v>234</v>
      </c>
      <c r="C4" s="2" t="s">
        <v>8</v>
      </c>
      <c r="D4" s="2" t="s">
        <v>698</v>
      </c>
      <c r="E4" s="2" t="s">
        <v>15</v>
      </c>
      <c r="F4" s="8" t="s">
        <v>79</v>
      </c>
    </row>
    <row r="5" spans="1:6">
      <c r="A5" s="2" t="s">
        <v>2560</v>
      </c>
      <c r="B5" s="2" t="s">
        <v>2580</v>
      </c>
      <c r="C5" s="2" t="s">
        <v>7</v>
      </c>
      <c r="D5" s="2" t="s">
        <v>695</v>
      </c>
      <c r="E5" s="2" t="s">
        <v>700</v>
      </c>
      <c r="F5" s="8" t="s">
        <v>79</v>
      </c>
    </row>
    <row r="6" spans="1:6">
      <c r="A6" s="2" t="s">
        <v>2560</v>
      </c>
      <c r="B6" s="2" t="s">
        <v>2585</v>
      </c>
      <c r="C6" s="2" t="s">
        <v>7</v>
      </c>
      <c r="D6" s="2" t="s">
        <v>179</v>
      </c>
      <c r="E6" s="2" t="s">
        <v>15</v>
      </c>
      <c r="F6" s="8" t="s">
        <v>79</v>
      </c>
    </row>
    <row r="7" spans="1:6">
      <c r="A7" s="2" t="s">
        <v>2560</v>
      </c>
      <c r="B7" s="2" t="s">
        <v>2589</v>
      </c>
      <c r="C7" s="2" t="s">
        <v>8</v>
      </c>
      <c r="D7" s="2" t="s">
        <v>691</v>
      </c>
      <c r="E7" s="2" t="s">
        <v>23</v>
      </c>
      <c r="F7" s="8" t="s">
        <v>79</v>
      </c>
    </row>
    <row r="8" spans="1:6">
      <c r="A8" s="2" t="s">
        <v>2560</v>
      </c>
      <c r="B8" s="2" t="s">
        <v>2593</v>
      </c>
      <c r="C8" s="2" t="s">
        <v>7</v>
      </c>
      <c r="D8" s="2" t="s">
        <v>695</v>
      </c>
      <c r="E8" s="2" t="s">
        <v>16</v>
      </c>
      <c r="F8" s="8" t="s">
        <v>79</v>
      </c>
    </row>
    <row r="9" spans="1:6">
      <c r="A9" s="2" t="s">
        <v>2560</v>
      </c>
      <c r="B9" s="2" t="s">
        <v>690</v>
      </c>
      <c r="C9" s="2" t="s">
        <v>8</v>
      </c>
      <c r="D9" s="2" t="s">
        <v>691</v>
      </c>
      <c r="E9" s="2" t="s">
        <v>23</v>
      </c>
      <c r="F9" s="7" t="s">
        <v>692</v>
      </c>
    </row>
    <row r="10" spans="1:6">
      <c r="A10" s="2" t="s">
        <v>2560</v>
      </c>
      <c r="B10" s="2" t="s">
        <v>694</v>
      </c>
      <c r="C10" s="2" t="s">
        <v>7</v>
      </c>
      <c r="D10" s="2" t="s">
        <v>695</v>
      </c>
      <c r="E10" s="2" t="s">
        <v>15</v>
      </c>
      <c r="F10" s="7" t="s">
        <v>692</v>
      </c>
    </row>
    <row r="11" spans="1:6">
      <c r="A11" s="2" t="s">
        <v>2560</v>
      </c>
      <c r="B11" s="2" t="s">
        <v>696</v>
      </c>
      <c r="C11" s="2" t="s">
        <v>8</v>
      </c>
      <c r="D11" s="2" t="s">
        <v>691</v>
      </c>
      <c r="E11" s="2" t="s">
        <v>18</v>
      </c>
      <c r="F11" s="7" t="s">
        <v>692</v>
      </c>
    </row>
    <row r="12" spans="1:6">
      <c r="A12" s="2" t="s">
        <v>2560</v>
      </c>
      <c r="B12" s="2" t="s">
        <v>697</v>
      </c>
      <c r="C12" s="2" t="s">
        <v>7</v>
      </c>
      <c r="D12" s="2" t="s">
        <v>698</v>
      </c>
      <c r="E12" s="2" t="s">
        <v>18</v>
      </c>
      <c r="F12" s="7" t="s">
        <v>692</v>
      </c>
    </row>
    <row r="13" spans="1:6">
      <c r="A13" s="2" t="s">
        <v>2560</v>
      </c>
      <c r="B13" s="2" t="s">
        <v>2612</v>
      </c>
      <c r="C13" s="2" t="s">
        <v>8</v>
      </c>
      <c r="D13" s="2" t="s">
        <v>698</v>
      </c>
      <c r="E13" s="2" t="s">
        <v>729</v>
      </c>
      <c r="F13" s="8" t="s">
        <v>79</v>
      </c>
    </row>
    <row r="14" spans="1:6">
      <c r="A14" s="2" t="s">
        <v>2560</v>
      </c>
      <c r="B14" s="2" t="s">
        <v>699</v>
      </c>
      <c r="C14" s="2" t="s">
        <v>8</v>
      </c>
      <c r="D14" s="2">
        <v>46</v>
      </c>
      <c r="E14" s="2" t="s">
        <v>700</v>
      </c>
      <c r="F14" s="7" t="s">
        <v>692</v>
      </c>
    </row>
    <row r="15" spans="1:6">
      <c r="A15" s="2" t="s">
        <v>2560</v>
      </c>
      <c r="B15" s="2" t="s">
        <v>701</v>
      </c>
      <c r="C15" s="2" t="s">
        <v>7</v>
      </c>
      <c r="D15" s="2" t="s">
        <v>691</v>
      </c>
      <c r="E15" s="2" t="s">
        <v>15</v>
      </c>
      <c r="F15" s="7" t="s">
        <v>692</v>
      </c>
    </row>
    <row r="16" spans="1:6">
      <c r="A16" s="2" t="s">
        <v>2560</v>
      </c>
      <c r="B16" s="2" t="s">
        <v>702</v>
      </c>
      <c r="C16" s="2" t="s">
        <v>7</v>
      </c>
      <c r="D16" s="2" t="s">
        <v>691</v>
      </c>
      <c r="E16" s="2" t="s">
        <v>15</v>
      </c>
      <c r="F16" s="7" t="s">
        <v>692</v>
      </c>
    </row>
    <row r="17" spans="1:6">
      <c r="A17" s="2" t="s">
        <v>2560</v>
      </c>
      <c r="B17" s="2" t="s">
        <v>703</v>
      </c>
      <c r="C17" s="2" t="s">
        <v>7</v>
      </c>
      <c r="D17" s="2" t="s">
        <v>691</v>
      </c>
      <c r="E17" s="2" t="s">
        <v>15</v>
      </c>
      <c r="F17" s="7" t="s">
        <v>692</v>
      </c>
    </row>
    <row r="18" spans="1:6">
      <c r="A18" s="2" t="s">
        <v>2560</v>
      </c>
      <c r="B18" s="2" t="s">
        <v>704</v>
      </c>
      <c r="C18" s="2" t="s">
        <v>7</v>
      </c>
      <c r="D18" s="2">
        <v>46</v>
      </c>
      <c r="E18" s="2" t="s">
        <v>16</v>
      </c>
      <c r="F18" s="7" t="s">
        <v>692</v>
      </c>
    </row>
    <row r="19" spans="1:6">
      <c r="A19" s="2" t="s">
        <v>2560</v>
      </c>
      <c r="B19" s="2" t="s">
        <v>705</v>
      </c>
      <c r="C19" s="2" t="s">
        <v>8</v>
      </c>
      <c r="D19" s="2" t="s">
        <v>691</v>
      </c>
      <c r="E19" s="2" t="s">
        <v>15</v>
      </c>
      <c r="F19" s="7" t="s">
        <v>692</v>
      </c>
    </row>
    <row r="20" spans="1:6">
      <c r="A20" s="2" t="s">
        <v>2560</v>
      </c>
      <c r="B20" s="2" t="s">
        <v>706</v>
      </c>
      <c r="C20" s="2" t="s">
        <v>8</v>
      </c>
      <c r="D20" s="2" t="s">
        <v>691</v>
      </c>
      <c r="E20" s="2" t="s">
        <v>15</v>
      </c>
      <c r="F20" s="7" t="s">
        <v>692</v>
      </c>
    </row>
    <row r="21" spans="1:6">
      <c r="A21" s="2" t="s">
        <v>2560</v>
      </c>
      <c r="B21" s="2" t="s">
        <v>2644</v>
      </c>
      <c r="C21" s="2" t="s">
        <v>8</v>
      </c>
      <c r="D21" s="2" t="s">
        <v>691</v>
      </c>
      <c r="E21" s="2" t="s">
        <v>16</v>
      </c>
      <c r="F21" s="8" t="s">
        <v>79</v>
      </c>
    </row>
    <row r="22" spans="1:6">
      <c r="A22" s="2" t="s">
        <v>2560</v>
      </c>
      <c r="B22" s="2" t="s">
        <v>707</v>
      </c>
      <c r="C22" s="2" t="s">
        <v>7</v>
      </c>
      <c r="D22" s="2" t="s">
        <v>698</v>
      </c>
      <c r="E22" s="2" t="s">
        <v>15</v>
      </c>
      <c r="F22" s="7" t="s">
        <v>692</v>
      </c>
    </row>
    <row r="23" spans="1:6">
      <c r="A23" s="2" t="s">
        <v>2560</v>
      </c>
      <c r="B23" s="2" t="s">
        <v>287</v>
      </c>
      <c r="C23" s="2" t="s">
        <v>7</v>
      </c>
      <c r="D23" s="2" t="s">
        <v>695</v>
      </c>
      <c r="E23" s="2" t="s">
        <v>700</v>
      </c>
      <c r="F23" s="8" t="s">
        <v>79</v>
      </c>
    </row>
    <row r="24" spans="1:6">
      <c r="A24" s="2" t="s">
        <v>2560</v>
      </c>
      <c r="B24" s="2" t="s">
        <v>2656</v>
      </c>
      <c r="C24" s="2" t="s">
        <v>8</v>
      </c>
      <c r="D24" s="2" t="s">
        <v>695</v>
      </c>
      <c r="E24" s="2" t="s">
        <v>16</v>
      </c>
      <c r="F24" s="8" t="s">
        <v>79</v>
      </c>
    </row>
    <row r="25" spans="1:6">
      <c r="A25" s="2" t="s">
        <v>2560</v>
      </c>
      <c r="B25" s="2" t="s">
        <v>708</v>
      </c>
      <c r="C25" s="2" t="s">
        <v>7</v>
      </c>
      <c r="D25" s="2" t="s">
        <v>695</v>
      </c>
      <c r="E25" s="2" t="s">
        <v>700</v>
      </c>
      <c r="F25" s="7" t="s">
        <v>692</v>
      </c>
    </row>
    <row r="26" spans="1:6">
      <c r="A26" s="2" t="s">
        <v>2560</v>
      </c>
      <c r="B26" s="2" t="s">
        <v>709</v>
      </c>
      <c r="C26" s="2" t="s">
        <v>7</v>
      </c>
      <c r="D26" s="2" t="s">
        <v>179</v>
      </c>
      <c r="E26" s="2" t="s">
        <v>710</v>
      </c>
      <c r="F26" s="7" t="s">
        <v>692</v>
      </c>
    </row>
    <row r="27" spans="1:6">
      <c r="A27" s="2" t="s">
        <v>2560</v>
      </c>
      <c r="B27" s="2" t="s">
        <v>711</v>
      </c>
      <c r="C27" s="2" t="s">
        <v>7</v>
      </c>
      <c r="D27" s="2" t="s">
        <v>695</v>
      </c>
      <c r="E27" s="2" t="s">
        <v>712</v>
      </c>
      <c r="F27" s="7" t="s">
        <v>692</v>
      </c>
    </row>
    <row r="28" spans="1:6">
      <c r="A28" s="2" t="s">
        <v>2560</v>
      </c>
      <c r="B28" s="2" t="s">
        <v>713</v>
      </c>
      <c r="C28" s="2" t="s">
        <v>7</v>
      </c>
      <c r="D28" s="2" t="s">
        <v>179</v>
      </c>
      <c r="E28" s="2" t="s">
        <v>15</v>
      </c>
      <c r="F28" s="7" t="s">
        <v>692</v>
      </c>
    </row>
    <row r="29" spans="1:6">
      <c r="A29" s="2" t="s">
        <v>2560</v>
      </c>
      <c r="B29" s="2" t="s">
        <v>714</v>
      </c>
      <c r="C29" s="2" t="s">
        <v>8</v>
      </c>
      <c r="D29" s="2" t="s">
        <v>691</v>
      </c>
      <c r="E29" s="2" t="s">
        <v>15</v>
      </c>
      <c r="F29" s="7" t="s">
        <v>692</v>
      </c>
    </row>
    <row r="30" spans="1:6">
      <c r="A30" s="2" t="s">
        <v>2560</v>
      </c>
      <c r="B30" s="2" t="s">
        <v>715</v>
      </c>
      <c r="C30" s="2" t="s">
        <v>7</v>
      </c>
      <c r="D30" s="2">
        <v>46</v>
      </c>
      <c r="E30" s="2" t="s">
        <v>15</v>
      </c>
      <c r="F30" s="7" t="s">
        <v>692</v>
      </c>
    </row>
    <row r="31" spans="1:6">
      <c r="A31" s="2" t="s">
        <v>2560</v>
      </c>
      <c r="B31" s="2" t="s">
        <v>716</v>
      </c>
      <c r="C31" s="2" t="s">
        <v>8</v>
      </c>
      <c r="D31" s="2" t="s">
        <v>179</v>
      </c>
      <c r="E31" s="2" t="s">
        <v>16</v>
      </c>
      <c r="F31" s="7" t="s">
        <v>692</v>
      </c>
    </row>
    <row r="32" spans="1:6">
      <c r="A32" s="2" t="s">
        <v>2560</v>
      </c>
      <c r="B32" s="2" t="s">
        <v>717</v>
      </c>
      <c r="C32" s="2" t="s">
        <v>7</v>
      </c>
      <c r="D32" s="2" t="s">
        <v>691</v>
      </c>
      <c r="E32" s="2" t="s">
        <v>23</v>
      </c>
      <c r="F32" s="7" t="s">
        <v>692</v>
      </c>
    </row>
    <row r="33" spans="1:6">
      <c r="A33" s="2" t="s">
        <v>2560</v>
      </c>
      <c r="B33" s="2" t="s">
        <v>718</v>
      </c>
      <c r="C33" s="2" t="s">
        <v>8</v>
      </c>
      <c r="D33" s="2" t="s">
        <v>695</v>
      </c>
      <c r="E33" s="2" t="s">
        <v>16</v>
      </c>
      <c r="F33" s="7" t="s">
        <v>692</v>
      </c>
    </row>
    <row r="34" spans="1:6">
      <c r="A34" s="2" t="s">
        <v>2560</v>
      </c>
      <c r="B34" s="2" t="s">
        <v>719</v>
      </c>
      <c r="C34" s="2" t="s">
        <v>8</v>
      </c>
      <c r="D34" s="2" t="s">
        <v>698</v>
      </c>
      <c r="E34" s="2" t="s">
        <v>16</v>
      </c>
      <c r="F34" s="7" t="s">
        <v>692</v>
      </c>
    </row>
    <row r="35" spans="1:6">
      <c r="A35" s="2" t="s">
        <v>2560</v>
      </c>
      <c r="B35" s="2" t="s">
        <v>720</v>
      </c>
      <c r="C35" s="2" t="s">
        <v>7</v>
      </c>
      <c r="D35" s="2" t="s">
        <v>179</v>
      </c>
      <c r="E35" s="2" t="s">
        <v>15</v>
      </c>
      <c r="F35" s="7" t="s">
        <v>692</v>
      </c>
    </row>
    <row r="36" spans="1:6">
      <c r="A36" s="2" t="s">
        <v>2560</v>
      </c>
      <c r="B36" s="2" t="s">
        <v>2700</v>
      </c>
      <c r="C36" s="2" t="s">
        <v>8</v>
      </c>
      <c r="D36" s="2" t="s">
        <v>691</v>
      </c>
      <c r="E36" s="2" t="s">
        <v>23</v>
      </c>
      <c r="F36" s="8" t="s">
        <v>79</v>
      </c>
    </row>
    <row r="37" spans="1:6">
      <c r="A37" s="2" t="s">
        <v>2560</v>
      </c>
      <c r="B37" s="2" t="s">
        <v>721</v>
      </c>
      <c r="C37" s="2" t="s">
        <v>8</v>
      </c>
      <c r="D37" s="2" t="s">
        <v>698</v>
      </c>
      <c r="E37" s="2" t="s">
        <v>710</v>
      </c>
      <c r="F37" s="7" t="s">
        <v>692</v>
      </c>
    </row>
    <row r="38" spans="1:6">
      <c r="A38" s="2" t="s">
        <v>2560</v>
      </c>
      <c r="B38" s="2" t="s">
        <v>722</v>
      </c>
      <c r="C38" s="2" t="s">
        <v>8</v>
      </c>
      <c r="D38" s="2">
        <v>46</v>
      </c>
      <c r="E38" s="2" t="s">
        <v>18</v>
      </c>
      <c r="F38" s="7" t="s">
        <v>692</v>
      </c>
    </row>
    <row r="39" spans="1:6">
      <c r="A39" s="2" t="s">
        <v>2560</v>
      </c>
      <c r="B39" s="2" t="s">
        <v>723</v>
      </c>
      <c r="C39" s="2" t="s">
        <v>7</v>
      </c>
      <c r="D39" s="2" t="s">
        <v>698</v>
      </c>
      <c r="E39" s="2" t="s">
        <v>15</v>
      </c>
      <c r="F39" s="7" t="s">
        <v>692</v>
      </c>
    </row>
    <row r="40" spans="1:6">
      <c r="A40" s="2" t="s">
        <v>2560</v>
      </c>
      <c r="B40" s="2" t="s">
        <v>2714</v>
      </c>
      <c r="C40" s="2" t="s">
        <v>8</v>
      </c>
      <c r="D40" s="2" t="s">
        <v>691</v>
      </c>
      <c r="E40" s="2" t="s">
        <v>23</v>
      </c>
      <c r="F40" s="8" t="s">
        <v>79</v>
      </c>
    </row>
    <row r="41" spans="1:6">
      <c r="A41" s="2" t="s">
        <v>2560</v>
      </c>
      <c r="B41" s="2" t="s">
        <v>724</v>
      </c>
      <c r="C41" s="2" t="s">
        <v>7</v>
      </c>
      <c r="D41" s="2" t="s">
        <v>179</v>
      </c>
      <c r="E41" s="2" t="s">
        <v>15</v>
      </c>
      <c r="F41" s="7" t="s">
        <v>692</v>
      </c>
    </row>
    <row r="42" spans="1:6">
      <c r="A42" s="2" t="s">
        <v>2560</v>
      </c>
      <c r="B42" s="2" t="s">
        <v>725</v>
      </c>
      <c r="C42" s="2" t="s">
        <v>7</v>
      </c>
      <c r="D42" s="2" t="s">
        <v>179</v>
      </c>
      <c r="E42" s="2" t="s">
        <v>710</v>
      </c>
      <c r="F42" s="7" t="s">
        <v>692</v>
      </c>
    </row>
    <row r="43" spans="1:6">
      <c r="A43" s="2" t="s">
        <v>2560</v>
      </c>
      <c r="B43" s="2" t="s">
        <v>726</v>
      </c>
      <c r="C43" s="2" t="s">
        <v>8</v>
      </c>
      <c r="D43" s="2" t="s">
        <v>179</v>
      </c>
      <c r="E43" s="2" t="s">
        <v>18</v>
      </c>
      <c r="F43" s="7" t="s">
        <v>692</v>
      </c>
    </row>
    <row r="44" spans="1:6">
      <c r="A44" s="2" t="s">
        <v>2560</v>
      </c>
      <c r="B44" s="2" t="s">
        <v>2726</v>
      </c>
      <c r="C44" s="2" t="s">
        <v>7</v>
      </c>
      <c r="D44" s="2" t="s">
        <v>698</v>
      </c>
      <c r="E44" s="2" t="s">
        <v>15</v>
      </c>
      <c r="F44" s="8" t="s">
        <v>79</v>
      </c>
    </row>
    <row r="45" spans="1:6">
      <c r="A45" s="2" t="s">
        <v>2560</v>
      </c>
      <c r="B45" s="2" t="s">
        <v>727</v>
      </c>
      <c r="C45" s="2" t="s">
        <v>8</v>
      </c>
      <c r="D45" s="2" t="s">
        <v>691</v>
      </c>
      <c r="E45" s="2" t="s">
        <v>23</v>
      </c>
      <c r="F45" s="7" t="s">
        <v>692</v>
      </c>
    </row>
    <row r="46" spans="1:6">
      <c r="A46" s="2" t="s">
        <v>2560</v>
      </c>
      <c r="B46" s="2" t="s">
        <v>728</v>
      </c>
      <c r="C46" s="2" t="s">
        <v>8</v>
      </c>
      <c r="D46" s="2">
        <v>46</v>
      </c>
      <c r="E46" s="2" t="s">
        <v>729</v>
      </c>
      <c r="F46" s="7" t="s">
        <v>692</v>
      </c>
    </row>
    <row r="47" spans="1:6">
      <c r="A47" s="2" t="s">
        <v>2560</v>
      </c>
      <c r="B47" s="2" t="s">
        <v>730</v>
      </c>
      <c r="C47" s="2" t="s">
        <v>8</v>
      </c>
      <c r="D47" s="2">
        <v>46</v>
      </c>
      <c r="E47" s="2" t="s">
        <v>18</v>
      </c>
      <c r="F47" s="7" t="s">
        <v>692</v>
      </c>
    </row>
    <row r="48" spans="1:6">
      <c r="A48" s="2" t="s">
        <v>2560</v>
      </c>
      <c r="B48" s="2" t="s">
        <v>731</v>
      </c>
      <c r="C48" s="2" t="s">
        <v>7</v>
      </c>
      <c r="D48" s="2" t="s">
        <v>695</v>
      </c>
      <c r="E48" s="2" t="s">
        <v>15</v>
      </c>
      <c r="F48" s="7" t="s">
        <v>692</v>
      </c>
    </row>
    <row r="49" spans="1:6">
      <c r="A49" s="2" t="s">
        <v>2560</v>
      </c>
      <c r="B49" s="2" t="s">
        <v>732</v>
      </c>
      <c r="C49" s="2" t="s">
        <v>7</v>
      </c>
      <c r="D49" s="2" t="s">
        <v>691</v>
      </c>
      <c r="E49" s="2" t="s">
        <v>16</v>
      </c>
      <c r="F49" s="7" t="s">
        <v>692</v>
      </c>
    </row>
    <row r="50" spans="1:6">
      <c r="A50" s="2" t="s">
        <v>2560</v>
      </c>
      <c r="B50" s="2" t="s">
        <v>269</v>
      </c>
      <c r="C50" s="2" t="s">
        <v>7</v>
      </c>
      <c r="D50" s="2" t="s">
        <v>698</v>
      </c>
      <c r="E50" s="2" t="s">
        <v>15</v>
      </c>
      <c r="F50" s="8" t="s">
        <v>79</v>
      </c>
    </row>
    <row r="51" spans="1:6">
      <c r="A51" s="2" t="s">
        <v>2560</v>
      </c>
      <c r="B51" s="2" t="s">
        <v>733</v>
      </c>
      <c r="C51" s="2" t="s">
        <v>7</v>
      </c>
      <c r="D51" s="2">
        <v>46</v>
      </c>
      <c r="E51" s="2" t="s">
        <v>15</v>
      </c>
      <c r="F51" s="7" t="s">
        <v>692</v>
      </c>
    </row>
    <row r="52" spans="1:6">
      <c r="A52" s="2" t="s">
        <v>2560</v>
      </c>
      <c r="B52" s="2" t="s">
        <v>734</v>
      </c>
      <c r="C52" s="2" t="s">
        <v>8</v>
      </c>
      <c r="D52" s="2" t="s">
        <v>695</v>
      </c>
      <c r="E52" s="2" t="s">
        <v>710</v>
      </c>
      <c r="F52" s="7" t="s">
        <v>692</v>
      </c>
    </row>
    <row r="53" spans="1:6">
      <c r="A53" s="2" t="s">
        <v>2560</v>
      </c>
      <c r="B53" s="2" t="s">
        <v>2768</v>
      </c>
      <c r="C53" s="2" t="s">
        <v>8</v>
      </c>
      <c r="D53" s="2" t="s">
        <v>695</v>
      </c>
      <c r="E53" s="2" t="s">
        <v>700</v>
      </c>
      <c r="F53" s="8" t="s">
        <v>79</v>
      </c>
    </row>
    <row r="54" spans="1:6">
      <c r="A54" s="2" t="s">
        <v>2560</v>
      </c>
      <c r="B54" s="2" t="s">
        <v>735</v>
      </c>
      <c r="C54" s="2" t="s">
        <v>8</v>
      </c>
      <c r="D54" s="2">
        <v>46</v>
      </c>
      <c r="E54" s="2" t="s">
        <v>23</v>
      </c>
      <c r="F54" s="7" t="s">
        <v>692</v>
      </c>
    </row>
    <row r="55" spans="1:6">
      <c r="A55" s="2" t="s">
        <v>2560</v>
      </c>
      <c r="B55" s="2" t="s">
        <v>736</v>
      </c>
      <c r="C55" s="2" t="s">
        <v>8</v>
      </c>
      <c r="D55" s="2" t="s">
        <v>695</v>
      </c>
      <c r="E55" s="2" t="s">
        <v>25</v>
      </c>
      <c r="F55" s="7" t="s">
        <v>692</v>
      </c>
    </row>
    <row r="56" spans="1:6">
      <c r="A56" s="2" t="s">
        <v>2560</v>
      </c>
      <c r="B56" s="2" t="s">
        <v>737</v>
      </c>
      <c r="C56" s="2" t="s">
        <v>8</v>
      </c>
      <c r="D56" s="2" t="s">
        <v>698</v>
      </c>
      <c r="E56" s="2" t="s">
        <v>700</v>
      </c>
      <c r="F56" s="7" t="s">
        <v>692</v>
      </c>
    </row>
    <row r="57" spans="1:6">
      <c r="A57" s="2" t="s">
        <v>2560</v>
      </c>
      <c r="B57" s="2" t="s">
        <v>738</v>
      </c>
      <c r="C57" s="2" t="s">
        <v>8</v>
      </c>
      <c r="D57" s="2" t="s">
        <v>691</v>
      </c>
      <c r="E57" s="2" t="s">
        <v>700</v>
      </c>
      <c r="F57" s="7" t="s">
        <v>692</v>
      </c>
    </row>
    <row r="58" spans="1:6">
      <c r="A58" s="2" t="s">
        <v>2560</v>
      </c>
      <c r="B58" s="2" t="s">
        <v>739</v>
      </c>
      <c r="C58" s="2" t="s">
        <v>7</v>
      </c>
      <c r="D58" s="2" t="s">
        <v>179</v>
      </c>
      <c r="E58" s="2" t="s">
        <v>740</v>
      </c>
      <c r="F58" s="7" t="s">
        <v>692</v>
      </c>
    </row>
    <row r="59" spans="1:6">
      <c r="A59" s="2" t="s">
        <v>2560</v>
      </c>
      <c r="B59" s="2" t="s">
        <v>741</v>
      </c>
      <c r="C59" s="2" t="s">
        <v>8</v>
      </c>
      <c r="D59" s="2" t="s">
        <v>695</v>
      </c>
      <c r="E59" s="2" t="s">
        <v>18</v>
      </c>
      <c r="F59" s="7" t="s">
        <v>692</v>
      </c>
    </row>
    <row r="60" spans="1:6">
      <c r="A60" s="2" t="s">
        <v>2560</v>
      </c>
      <c r="B60" s="2" t="s">
        <v>2797</v>
      </c>
      <c r="C60" s="2" t="s">
        <v>8</v>
      </c>
      <c r="D60" s="2" t="s">
        <v>698</v>
      </c>
      <c r="E60" s="2" t="s">
        <v>16</v>
      </c>
      <c r="F60" s="8" t="s">
        <v>79</v>
      </c>
    </row>
    <row r="61" spans="1:6">
      <c r="A61" s="2" t="s">
        <v>2560</v>
      </c>
      <c r="B61" s="2" t="s">
        <v>742</v>
      </c>
      <c r="C61" s="2" t="s">
        <v>7</v>
      </c>
      <c r="D61" s="2" t="s">
        <v>695</v>
      </c>
      <c r="E61" s="2" t="s">
        <v>15</v>
      </c>
      <c r="F61" s="7" t="s">
        <v>692</v>
      </c>
    </row>
    <row r="62" spans="1:6">
      <c r="A62" s="2" t="s">
        <v>2560</v>
      </c>
      <c r="B62" s="2" t="s">
        <v>2814</v>
      </c>
      <c r="C62" s="2" t="s">
        <v>8</v>
      </c>
      <c r="D62" s="2" t="s">
        <v>698</v>
      </c>
      <c r="E62" s="2" t="s">
        <v>770</v>
      </c>
      <c r="F62" s="8" t="s">
        <v>79</v>
      </c>
    </row>
    <row r="63" spans="1:6">
      <c r="A63" s="2" t="s">
        <v>2560</v>
      </c>
      <c r="B63" s="2" t="s">
        <v>743</v>
      </c>
      <c r="C63" s="2" t="s">
        <v>8</v>
      </c>
      <c r="D63" s="2" t="s">
        <v>698</v>
      </c>
      <c r="E63" s="2" t="s">
        <v>700</v>
      </c>
      <c r="F63" s="7" t="s">
        <v>692</v>
      </c>
    </row>
    <row r="64" spans="1:6">
      <c r="A64" s="2" t="s">
        <v>2560</v>
      </c>
      <c r="B64" s="2" t="s">
        <v>2821</v>
      </c>
      <c r="C64" s="2" t="s">
        <v>8</v>
      </c>
      <c r="D64" s="2" t="s">
        <v>691</v>
      </c>
      <c r="E64" s="2" t="s">
        <v>700</v>
      </c>
      <c r="F64" s="8" t="s">
        <v>79</v>
      </c>
    </row>
    <row r="65" spans="1:6">
      <c r="A65" s="2" t="s">
        <v>2560</v>
      </c>
      <c r="B65" s="2" t="s">
        <v>744</v>
      </c>
      <c r="C65" s="2" t="s">
        <v>8</v>
      </c>
      <c r="D65" s="2" t="s">
        <v>698</v>
      </c>
      <c r="E65" s="2" t="s">
        <v>712</v>
      </c>
      <c r="F65" s="7" t="s">
        <v>692</v>
      </c>
    </row>
    <row r="66" spans="1:6">
      <c r="A66" s="2" t="s">
        <v>2560</v>
      </c>
      <c r="B66" s="2" t="s">
        <v>745</v>
      </c>
      <c r="C66" s="2" t="s">
        <v>7</v>
      </c>
      <c r="D66" s="2" t="s">
        <v>698</v>
      </c>
      <c r="E66" s="2" t="s">
        <v>712</v>
      </c>
      <c r="F66" s="7" t="s">
        <v>692</v>
      </c>
    </row>
    <row r="67" spans="1:6">
      <c r="A67" s="2" t="s">
        <v>2560</v>
      </c>
      <c r="B67" s="2" t="s">
        <v>746</v>
      </c>
      <c r="C67" s="2" t="s">
        <v>7</v>
      </c>
      <c r="D67" s="2" t="s">
        <v>698</v>
      </c>
      <c r="E67" s="2" t="s">
        <v>710</v>
      </c>
      <c r="F67" s="7" t="s">
        <v>692</v>
      </c>
    </row>
    <row r="68" spans="1:6">
      <c r="A68" s="2" t="s">
        <v>2560</v>
      </c>
      <c r="B68" s="2" t="s">
        <v>747</v>
      </c>
      <c r="C68" s="2" t="s">
        <v>7</v>
      </c>
      <c r="D68" s="2" t="s">
        <v>179</v>
      </c>
      <c r="E68" s="2" t="s">
        <v>16</v>
      </c>
      <c r="F68" s="7" t="s">
        <v>692</v>
      </c>
    </row>
    <row r="69" spans="1:6">
      <c r="A69" s="2" t="s">
        <v>2560</v>
      </c>
      <c r="B69" s="2" t="s">
        <v>748</v>
      </c>
      <c r="C69" s="2" t="s">
        <v>7</v>
      </c>
      <c r="D69" s="2" t="s">
        <v>691</v>
      </c>
      <c r="E69" s="2" t="s">
        <v>712</v>
      </c>
      <c r="F69" s="7" t="s">
        <v>692</v>
      </c>
    </row>
    <row r="70" spans="1:6">
      <c r="A70" s="2" t="s">
        <v>2560</v>
      </c>
      <c r="B70" s="2" t="s">
        <v>749</v>
      </c>
      <c r="C70" s="2" t="s">
        <v>7</v>
      </c>
      <c r="D70" s="2">
        <v>46</v>
      </c>
      <c r="E70" s="2" t="s">
        <v>18</v>
      </c>
      <c r="F70" s="7" t="s">
        <v>692</v>
      </c>
    </row>
    <row r="71" spans="1:6">
      <c r="A71" s="2" t="s">
        <v>2560</v>
      </c>
      <c r="B71" s="2" t="s">
        <v>750</v>
      </c>
      <c r="C71" s="2" t="s">
        <v>8</v>
      </c>
      <c r="D71" s="2">
        <v>46</v>
      </c>
      <c r="E71" s="2" t="s">
        <v>710</v>
      </c>
      <c r="F71" s="7" t="s">
        <v>692</v>
      </c>
    </row>
    <row r="72" spans="1:6">
      <c r="A72" s="2" t="s">
        <v>2560</v>
      </c>
      <c r="B72" s="2" t="s">
        <v>751</v>
      </c>
      <c r="C72" s="2" t="s">
        <v>8</v>
      </c>
      <c r="D72" s="2" t="s">
        <v>691</v>
      </c>
      <c r="E72" s="2" t="s">
        <v>23</v>
      </c>
      <c r="F72" s="7" t="s">
        <v>692</v>
      </c>
    </row>
    <row r="73" spans="1:6">
      <c r="A73" s="2" t="s">
        <v>2560</v>
      </c>
      <c r="B73" s="2" t="s">
        <v>752</v>
      </c>
      <c r="C73" s="2" t="s">
        <v>8</v>
      </c>
      <c r="D73" s="2" t="s">
        <v>698</v>
      </c>
      <c r="E73" s="2" t="s">
        <v>16</v>
      </c>
      <c r="F73" s="7" t="s">
        <v>692</v>
      </c>
    </row>
    <row r="74" spans="1:6">
      <c r="A74" s="2" t="s">
        <v>2560</v>
      </c>
      <c r="B74" s="2" t="s">
        <v>2866</v>
      </c>
      <c r="C74" s="2" t="s">
        <v>8</v>
      </c>
      <c r="D74" s="2">
        <v>46</v>
      </c>
      <c r="E74" s="2" t="s">
        <v>16</v>
      </c>
      <c r="F74" s="8" t="s">
        <v>79</v>
      </c>
    </row>
    <row r="75" spans="1:6">
      <c r="A75" s="2" t="s">
        <v>2560</v>
      </c>
      <c r="B75" s="2" t="s">
        <v>1132</v>
      </c>
      <c r="C75" s="2" t="s">
        <v>8</v>
      </c>
      <c r="D75" s="2" t="s">
        <v>691</v>
      </c>
      <c r="E75" s="2" t="s">
        <v>700</v>
      </c>
      <c r="F75" s="8" t="s">
        <v>79</v>
      </c>
    </row>
    <row r="76" spans="1:6">
      <c r="A76" s="2" t="s">
        <v>2560</v>
      </c>
      <c r="B76" s="2" t="s">
        <v>117</v>
      </c>
      <c r="C76" s="2" t="s">
        <v>7</v>
      </c>
      <c r="D76" s="2" t="s">
        <v>695</v>
      </c>
      <c r="E76" s="2" t="s">
        <v>16</v>
      </c>
      <c r="F76" s="8" t="s">
        <v>79</v>
      </c>
    </row>
    <row r="77" spans="1:6">
      <c r="A77" s="2" t="s">
        <v>2560</v>
      </c>
      <c r="B77" s="2" t="s">
        <v>2878</v>
      </c>
      <c r="C77" s="2" t="s">
        <v>7</v>
      </c>
      <c r="D77" s="2" t="s">
        <v>695</v>
      </c>
      <c r="E77" s="2" t="s">
        <v>16</v>
      </c>
      <c r="F77" s="8" t="s">
        <v>79</v>
      </c>
    </row>
    <row r="78" spans="1:6">
      <c r="A78" s="2" t="s">
        <v>2560</v>
      </c>
      <c r="B78" s="2" t="s">
        <v>2882</v>
      </c>
      <c r="C78" s="2" t="s">
        <v>8</v>
      </c>
      <c r="D78" s="2" t="s">
        <v>691</v>
      </c>
      <c r="E78" s="2" t="s">
        <v>23</v>
      </c>
      <c r="F78" s="8" t="s">
        <v>79</v>
      </c>
    </row>
    <row r="79" spans="1:6">
      <c r="A79" s="2" t="s">
        <v>2560</v>
      </c>
      <c r="B79" s="2" t="s">
        <v>2886</v>
      </c>
      <c r="C79" s="2" t="s">
        <v>7</v>
      </c>
      <c r="D79" s="2" t="s">
        <v>695</v>
      </c>
      <c r="E79" s="2" t="s">
        <v>16</v>
      </c>
      <c r="F79" s="8" t="s">
        <v>79</v>
      </c>
    </row>
    <row r="80" spans="1:6">
      <c r="A80" s="2" t="s">
        <v>2560</v>
      </c>
      <c r="B80" s="2" t="s">
        <v>753</v>
      </c>
      <c r="C80" s="2" t="s">
        <v>7</v>
      </c>
      <c r="D80" s="2" t="s">
        <v>691</v>
      </c>
      <c r="E80" s="2" t="s">
        <v>23</v>
      </c>
      <c r="F80" s="7" t="s">
        <v>692</v>
      </c>
    </row>
    <row r="81" spans="1:6">
      <c r="A81" s="2" t="s">
        <v>2560</v>
      </c>
      <c r="B81" s="2" t="s">
        <v>137</v>
      </c>
      <c r="C81" s="2" t="s">
        <v>7</v>
      </c>
      <c r="D81" s="2" t="s">
        <v>691</v>
      </c>
      <c r="E81" s="2" t="s">
        <v>16</v>
      </c>
      <c r="F81" s="8" t="s">
        <v>79</v>
      </c>
    </row>
    <row r="82" spans="1:6">
      <c r="A82" s="2" t="s">
        <v>2560</v>
      </c>
      <c r="B82" s="2" t="s">
        <v>2903</v>
      </c>
      <c r="C82" s="2" t="s">
        <v>8</v>
      </c>
      <c r="D82" s="2">
        <v>46</v>
      </c>
      <c r="E82" s="2" t="s">
        <v>729</v>
      </c>
      <c r="F82" s="8" t="s">
        <v>79</v>
      </c>
    </row>
    <row r="83" spans="1:6">
      <c r="A83" s="2" t="s">
        <v>2560</v>
      </c>
      <c r="B83" s="2" t="s">
        <v>2912</v>
      </c>
      <c r="C83" s="2" t="s">
        <v>8</v>
      </c>
      <c r="D83" s="2" t="s">
        <v>695</v>
      </c>
      <c r="E83" s="2" t="s">
        <v>770</v>
      </c>
      <c r="F83" s="8" t="s">
        <v>79</v>
      </c>
    </row>
    <row r="84" spans="1:6">
      <c r="A84" s="2" t="s">
        <v>2560</v>
      </c>
      <c r="B84" s="2" t="s">
        <v>754</v>
      </c>
      <c r="C84" s="2" t="s">
        <v>8</v>
      </c>
      <c r="D84" s="2" t="s">
        <v>695</v>
      </c>
      <c r="E84" s="2" t="s">
        <v>16</v>
      </c>
      <c r="F84" s="7" t="s">
        <v>692</v>
      </c>
    </row>
    <row r="85" spans="1:6">
      <c r="A85" s="2" t="s">
        <v>2560</v>
      </c>
      <c r="B85" s="2" t="s">
        <v>2921</v>
      </c>
      <c r="C85" s="2" t="s">
        <v>7</v>
      </c>
      <c r="D85" s="2" t="s">
        <v>695</v>
      </c>
      <c r="E85" s="2" t="s">
        <v>18</v>
      </c>
      <c r="F85" s="8" t="s">
        <v>79</v>
      </c>
    </row>
    <row r="86" spans="1:6">
      <c r="A86" s="2" t="s">
        <v>2560</v>
      </c>
      <c r="B86" s="2" t="s">
        <v>2925</v>
      </c>
      <c r="C86" s="2" t="s">
        <v>8</v>
      </c>
      <c r="D86" s="2">
        <v>46</v>
      </c>
      <c r="E86" s="2" t="s">
        <v>23</v>
      </c>
      <c r="F86" s="8" t="s">
        <v>79</v>
      </c>
    </row>
    <row r="87" spans="1:6">
      <c r="A87" s="2" t="s">
        <v>2560</v>
      </c>
      <c r="B87" s="2" t="s">
        <v>755</v>
      </c>
      <c r="C87" s="2" t="s">
        <v>8</v>
      </c>
      <c r="D87" s="2" t="s">
        <v>691</v>
      </c>
      <c r="E87" s="2" t="s">
        <v>23</v>
      </c>
      <c r="F87" s="7" t="s">
        <v>692</v>
      </c>
    </row>
    <row r="88" spans="1:6">
      <c r="A88" s="2" t="s">
        <v>2560</v>
      </c>
      <c r="B88" s="2" t="s">
        <v>756</v>
      </c>
      <c r="C88" s="2" t="s">
        <v>8</v>
      </c>
      <c r="D88" s="2" t="s">
        <v>698</v>
      </c>
      <c r="E88" s="2" t="s">
        <v>710</v>
      </c>
      <c r="F88" s="7" t="s">
        <v>692</v>
      </c>
    </row>
    <row r="89" spans="1:6">
      <c r="A89" s="2" t="s">
        <v>2560</v>
      </c>
      <c r="B89" s="2" t="s">
        <v>757</v>
      </c>
      <c r="C89" s="2" t="s">
        <v>8</v>
      </c>
      <c r="D89" s="2" t="s">
        <v>695</v>
      </c>
      <c r="E89" s="2" t="s">
        <v>23</v>
      </c>
      <c r="F89" s="7" t="s">
        <v>692</v>
      </c>
    </row>
    <row r="90" spans="1:6">
      <c r="A90" s="2" t="s">
        <v>2560</v>
      </c>
      <c r="B90" s="2" t="s">
        <v>1095</v>
      </c>
      <c r="C90" s="2" t="s">
        <v>8</v>
      </c>
      <c r="D90" s="2" t="s">
        <v>691</v>
      </c>
      <c r="E90" s="2" t="s">
        <v>23</v>
      </c>
      <c r="F90" s="8" t="s">
        <v>79</v>
      </c>
    </row>
    <row r="91" spans="1:6">
      <c r="A91" s="2" t="s">
        <v>2560</v>
      </c>
      <c r="B91" s="2" t="s">
        <v>2950</v>
      </c>
      <c r="C91" s="2" t="s">
        <v>8</v>
      </c>
      <c r="D91" s="2">
        <v>46</v>
      </c>
      <c r="E91" s="2" t="s">
        <v>770</v>
      </c>
      <c r="F91" s="8" t="s">
        <v>79</v>
      </c>
    </row>
    <row r="92" spans="1:6">
      <c r="A92" s="2" t="s">
        <v>2560</v>
      </c>
      <c r="B92" s="2" t="s">
        <v>758</v>
      </c>
      <c r="C92" s="2" t="s">
        <v>7</v>
      </c>
      <c r="D92" s="2" t="s">
        <v>179</v>
      </c>
      <c r="E92" s="2" t="s">
        <v>23</v>
      </c>
      <c r="F92" s="7" t="s">
        <v>692</v>
      </c>
    </row>
    <row r="93" spans="1:6">
      <c r="A93" s="2" t="s">
        <v>2560</v>
      </c>
      <c r="B93" s="2" t="s">
        <v>2959</v>
      </c>
      <c r="C93" s="2" t="s">
        <v>8</v>
      </c>
      <c r="D93" s="2">
        <v>46</v>
      </c>
      <c r="E93" s="2" t="s">
        <v>770</v>
      </c>
      <c r="F93" s="8" t="s">
        <v>79</v>
      </c>
    </row>
    <row r="94" spans="1:6">
      <c r="A94" s="2" t="s">
        <v>2560</v>
      </c>
      <c r="B94" s="2" t="s">
        <v>759</v>
      </c>
      <c r="C94" s="2" t="s">
        <v>7</v>
      </c>
      <c r="D94" s="2" t="s">
        <v>698</v>
      </c>
      <c r="E94" s="2" t="s">
        <v>16</v>
      </c>
      <c r="F94" s="7" t="s">
        <v>692</v>
      </c>
    </row>
    <row r="95" spans="1:6">
      <c r="A95" s="2" t="s">
        <v>2560</v>
      </c>
      <c r="B95" s="2" t="s">
        <v>2967</v>
      </c>
      <c r="C95" s="2" t="s">
        <v>8</v>
      </c>
      <c r="D95" s="2">
        <v>46</v>
      </c>
      <c r="E95" s="2" t="s">
        <v>729</v>
      </c>
      <c r="F95" s="8" t="s">
        <v>79</v>
      </c>
    </row>
    <row r="96" spans="1:6">
      <c r="A96" s="2" t="s">
        <v>2560</v>
      </c>
      <c r="B96" s="2" t="s">
        <v>218</v>
      </c>
      <c r="C96" s="2" t="s">
        <v>8</v>
      </c>
      <c r="D96" s="2" t="s">
        <v>691</v>
      </c>
      <c r="E96" s="2" t="s">
        <v>23</v>
      </c>
      <c r="F96" s="8" t="s">
        <v>79</v>
      </c>
    </row>
    <row r="97" spans="1:6">
      <c r="A97" s="2" t="s">
        <v>2560</v>
      </c>
      <c r="B97" s="2" t="s">
        <v>2975</v>
      </c>
      <c r="C97" s="2" t="s">
        <v>8</v>
      </c>
      <c r="D97" s="2" t="s">
        <v>691</v>
      </c>
      <c r="E97" s="2" t="s">
        <v>23</v>
      </c>
      <c r="F97" s="8" t="s">
        <v>79</v>
      </c>
    </row>
    <row r="98" spans="1:6">
      <c r="A98" s="2" t="s">
        <v>2560</v>
      </c>
      <c r="B98" s="2" t="s">
        <v>2979</v>
      </c>
      <c r="C98" s="2" t="s">
        <v>8</v>
      </c>
      <c r="D98" s="2" t="s">
        <v>698</v>
      </c>
      <c r="E98" s="2" t="s">
        <v>18</v>
      </c>
      <c r="F98" s="8" t="s">
        <v>79</v>
      </c>
    </row>
    <row r="99" spans="1:6">
      <c r="A99" s="2" t="s">
        <v>2560</v>
      </c>
      <c r="B99" s="2" t="s">
        <v>2989</v>
      </c>
      <c r="C99" s="2" t="s">
        <v>8</v>
      </c>
      <c r="D99" s="2">
        <v>46</v>
      </c>
      <c r="E99" s="2" t="s">
        <v>729</v>
      </c>
      <c r="F99" s="8" t="s">
        <v>79</v>
      </c>
    </row>
    <row r="100" spans="1:6">
      <c r="A100" s="2" t="s">
        <v>2560</v>
      </c>
      <c r="B100" s="2" t="s">
        <v>200</v>
      </c>
      <c r="C100" s="2" t="s">
        <v>7</v>
      </c>
      <c r="D100" s="2" t="s">
        <v>691</v>
      </c>
      <c r="E100" s="2" t="s">
        <v>23</v>
      </c>
      <c r="F100" s="8" t="s">
        <v>79</v>
      </c>
    </row>
    <row r="101" spans="1:6">
      <c r="A101" s="2" t="s">
        <v>2560</v>
      </c>
      <c r="B101" s="2" t="s">
        <v>2997</v>
      </c>
      <c r="C101" s="2" t="s">
        <v>8</v>
      </c>
      <c r="D101" s="2" t="s">
        <v>695</v>
      </c>
      <c r="E101" s="2" t="s">
        <v>729</v>
      </c>
      <c r="F101" s="8" t="s">
        <v>79</v>
      </c>
    </row>
    <row r="102" spans="1:6">
      <c r="A102" s="2" t="s">
        <v>2560</v>
      </c>
      <c r="B102" s="2" t="s">
        <v>3007</v>
      </c>
      <c r="C102" s="2" t="s">
        <v>8</v>
      </c>
      <c r="D102" s="2">
        <v>46</v>
      </c>
      <c r="E102" s="2" t="s">
        <v>23</v>
      </c>
      <c r="F102" s="8" t="s">
        <v>79</v>
      </c>
    </row>
    <row r="103" spans="1:6">
      <c r="A103" s="2" t="s">
        <v>2560</v>
      </c>
      <c r="B103" s="2" t="s">
        <v>3012</v>
      </c>
      <c r="C103" s="2" t="s">
        <v>7</v>
      </c>
      <c r="D103" s="2" t="s">
        <v>691</v>
      </c>
      <c r="E103" s="2" t="s">
        <v>23</v>
      </c>
      <c r="F103" s="8" t="s">
        <v>79</v>
      </c>
    </row>
    <row r="104" spans="1:6">
      <c r="A104" s="2" t="s">
        <v>2560</v>
      </c>
      <c r="B104" s="2" t="s">
        <v>3016</v>
      </c>
      <c r="C104" s="2" t="s">
        <v>8</v>
      </c>
      <c r="D104" s="2" t="s">
        <v>695</v>
      </c>
      <c r="E104" s="2" t="s">
        <v>23</v>
      </c>
      <c r="F104" s="8" t="s">
        <v>79</v>
      </c>
    </row>
    <row r="105" spans="1:6">
      <c r="A105" s="2" t="s">
        <v>2560</v>
      </c>
      <c r="B105" s="2" t="s">
        <v>3020</v>
      </c>
      <c r="C105" s="2" t="s">
        <v>8</v>
      </c>
      <c r="D105" s="2">
        <v>46</v>
      </c>
      <c r="E105" s="2" t="s">
        <v>729</v>
      </c>
      <c r="F105" s="8" t="s">
        <v>79</v>
      </c>
    </row>
    <row r="106" spans="1:6">
      <c r="A106" s="2" t="s">
        <v>2560</v>
      </c>
      <c r="B106" s="2" t="s">
        <v>760</v>
      </c>
      <c r="C106" s="2" t="s">
        <v>8</v>
      </c>
      <c r="D106" s="2" t="s">
        <v>691</v>
      </c>
      <c r="E106" s="2" t="s">
        <v>23</v>
      </c>
      <c r="F106" s="7" t="s">
        <v>692</v>
      </c>
    </row>
    <row r="107" spans="1:6">
      <c r="A107" s="2" t="s">
        <v>2560</v>
      </c>
      <c r="B107" s="2" t="s">
        <v>3028</v>
      </c>
      <c r="C107" s="2" t="s">
        <v>8</v>
      </c>
      <c r="D107" s="2" t="s">
        <v>691</v>
      </c>
      <c r="E107" s="2" t="s">
        <v>23</v>
      </c>
      <c r="F107" s="8" t="s">
        <v>79</v>
      </c>
    </row>
    <row r="108" spans="1:6">
      <c r="A108" s="2" t="s">
        <v>2560</v>
      </c>
      <c r="B108" s="2" t="s">
        <v>3038</v>
      </c>
      <c r="C108" s="2" t="s">
        <v>7</v>
      </c>
      <c r="D108" s="2" t="s">
        <v>691</v>
      </c>
      <c r="E108" s="2" t="s">
        <v>770</v>
      </c>
      <c r="F108" s="8" t="s">
        <v>79</v>
      </c>
    </row>
    <row r="109" spans="1:6">
      <c r="A109" s="2" t="s">
        <v>2560</v>
      </c>
      <c r="B109" s="2" t="s">
        <v>3042</v>
      </c>
      <c r="C109" s="2" t="s">
        <v>7</v>
      </c>
      <c r="D109" s="2" t="s">
        <v>691</v>
      </c>
      <c r="E109" s="2" t="s">
        <v>729</v>
      </c>
      <c r="F109" s="8" t="s">
        <v>79</v>
      </c>
    </row>
    <row r="110" spans="1:6">
      <c r="A110" s="2" t="s">
        <v>2560</v>
      </c>
      <c r="B110" s="2" t="s">
        <v>3047</v>
      </c>
      <c r="C110" s="2" t="s">
        <v>8</v>
      </c>
      <c r="D110" s="2" t="s">
        <v>695</v>
      </c>
      <c r="E110" s="2" t="s">
        <v>16</v>
      </c>
      <c r="F110" s="8" t="s">
        <v>79</v>
      </c>
    </row>
    <row r="111" spans="1:6">
      <c r="A111" s="2" t="s">
        <v>2560</v>
      </c>
      <c r="B111" s="2" t="s">
        <v>3052</v>
      </c>
      <c r="C111" s="2" t="s">
        <v>8</v>
      </c>
      <c r="D111" s="2" t="s">
        <v>691</v>
      </c>
      <c r="E111" s="2" t="s">
        <v>729</v>
      </c>
      <c r="F111" s="8" t="s">
        <v>79</v>
      </c>
    </row>
    <row r="112" spans="1:6">
      <c r="A112" s="2" t="s">
        <v>2560</v>
      </c>
      <c r="B112" s="2" t="s">
        <v>761</v>
      </c>
      <c r="C112" s="2" t="s">
        <v>8</v>
      </c>
      <c r="D112" s="2" t="s">
        <v>698</v>
      </c>
      <c r="E112" s="2" t="s">
        <v>712</v>
      </c>
      <c r="F112" s="7" t="s">
        <v>692</v>
      </c>
    </row>
    <row r="113" spans="1:6">
      <c r="A113" s="2" t="s">
        <v>2560</v>
      </c>
      <c r="B113" s="2" t="s">
        <v>762</v>
      </c>
      <c r="C113" s="2" t="s">
        <v>8</v>
      </c>
      <c r="D113" s="2" t="s">
        <v>691</v>
      </c>
      <c r="E113" s="2" t="s">
        <v>15</v>
      </c>
      <c r="F113" s="7" t="s">
        <v>692</v>
      </c>
    </row>
    <row r="114" spans="1:6">
      <c r="A114" s="2" t="s">
        <v>2560</v>
      </c>
      <c r="B114" s="2" t="s">
        <v>763</v>
      </c>
      <c r="C114" s="2" t="s">
        <v>8</v>
      </c>
      <c r="D114" s="2" t="s">
        <v>698</v>
      </c>
      <c r="E114" s="2" t="s">
        <v>16</v>
      </c>
      <c r="F114" s="7" t="s">
        <v>692</v>
      </c>
    </row>
    <row r="115" spans="1:6">
      <c r="A115" s="2" t="s">
        <v>2560</v>
      </c>
      <c r="B115" s="2" t="s">
        <v>3067</v>
      </c>
      <c r="C115" s="2" t="s">
        <v>8</v>
      </c>
      <c r="D115" s="2">
        <v>46</v>
      </c>
      <c r="E115" s="2" t="s">
        <v>18</v>
      </c>
      <c r="F115" s="8" t="s">
        <v>79</v>
      </c>
    </row>
    <row r="116" spans="1:6">
      <c r="A116" s="2" t="s">
        <v>2560</v>
      </c>
      <c r="B116" s="2" t="s">
        <v>764</v>
      </c>
      <c r="C116" s="2" t="s">
        <v>8</v>
      </c>
      <c r="D116" s="2" t="s">
        <v>695</v>
      </c>
      <c r="E116" s="2" t="s">
        <v>25</v>
      </c>
      <c r="F116" s="7" t="s">
        <v>692</v>
      </c>
    </row>
    <row r="117" spans="1:6">
      <c r="A117" s="2" t="s">
        <v>2560</v>
      </c>
      <c r="B117" s="2" t="s">
        <v>765</v>
      </c>
      <c r="C117" s="2" t="s">
        <v>8</v>
      </c>
      <c r="D117" s="2" t="s">
        <v>179</v>
      </c>
      <c r="E117" s="2" t="s">
        <v>18</v>
      </c>
      <c r="F117" s="7" t="s">
        <v>692</v>
      </c>
    </row>
    <row r="118" spans="1:6">
      <c r="A118" s="2" t="s">
        <v>2560</v>
      </c>
      <c r="B118" s="2" t="s">
        <v>766</v>
      </c>
      <c r="C118" s="2" t="s">
        <v>8</v>
      </c>
      <c r="D118" s="2" t="s">
        <v>698</v>
      </c>
      <c r="E118" s="2" t="s">
        <v>15</v>
      </c>
      <c r="F118" s="7" t="s">
        <v>692</v>
      </c>
    </row>
    <row r="119" spans="1:6">
      <c r="A119" s="2" t="s">
        <v>2560</v>
      </c>
      <c r="B119" s="2" t="s">
        <v>3092</v>
      </c>
      <c r="C119" s="2" t="s">
        <v>8</v>
      </c>
      <c r="D119" s="2" t="s">
        <v>698</v>
      </c>
      <c r="E119" s="2" t="s">
        <v>16</v>
      </c>
      <c r="F119" s="8" t="s">
        <v>79</v>
      </c>
    </row>
    <row r="120" spans="1:6">
      <c r="A120" s="2" t="s">
        <v>2560</v>
      </c>
      <c r="B120" s="2" t="s">
        <v>767</v>
      </c>
      <c r="C120" s="2" t="s">
        <v>7</v>
      </c>
      <c r="D120" s="2">
        <v>46</v>
      </c>
      <c r="E120" s="2" t="s">
        <v>15</v>
      </c>
      <c r="F120" s="7" t="s">
        <v>692</v>
      </c>
    </row>
    <row r="121" spans="1:6">
      <c r="A121" s="2" t="s">
        <v>2560</v>
      </c>
      <c r="B121" s="2" t="s">
        <v>3101</v>
      </c>
      <c r="C121" s="2" t="s">
        <v>8</v>
      </c>
      <c r="D121" s="2" t="s">
        <v>698</v>
      </c>
      <c r="E121" s="2" t="s">
        <v>700</v>
      </c>
      <c r="F121" s="8" t="s">
        <v>79</v>
      </c>
    </row>
    <row r="122" spans="1:6">
      <c r="A122" s="2" t="s">
        <v>2560</v>
      </c>
      <c r="B122" s="2" t="s">
        <v>3106</v>
      </c>
      <c r="C122" s="2" t="s">
        <v>7</v>
      </c>
      <c r="D122" s="2">
        <v>46</v>
      </c>
      <c r="E122" s="2" t="s">
        <v>23</v>
      </c>
      <c r="F122" s="8" t="s">
        <v>79</v>
      </c>
    </row>
    <row r="123" spans="1:6">
      <c r="A123" s="2" t="s">
        <v>2560</v>
      </c>
      <c r="B123" s="2" t="s">
        <v>768</v>
      </c>
      <c r="C123" s="2" t="s">
        <v>7</v>
      </c>
      <c r="D123" s="2" t="s">
        <v>695</v>
      </c>
      <c r="E123" s="2" t="s">
        <v>18</v>
      </c>
      <c r="F123" s="7" t="s">
        <v>692</v>
      </c>
    </row>
    <row r="124" spans="1:6">
      <c r="A124" s="2" t="s">
        <v>2560</v>
      </c>
      <c r="B124" s="2" t="s">
        <v>3114</v>
      </c>
      <c r="C124" s="2" t="s">
        <v>7</v>
      </c>
      <c r="D124" s="2" t="s">
        <v>691</v>
      </c>
      <c r="E124" s="2" t="s">
        <v>15</v>
      </c>
      <c r="F124" s="8" t="s">
        <v>79</v>
      </c>
    </row>
    <row r="125" spans="1:6">
      <c r="A125" s="2" t="s">
        <v>2560</v>
      </c>
      <c r="B125" s="2" t="s">
        <v>258</v>
      </c>
      <c r="C125" s="2" t="s">
        <v>7</v>
      </c>
      <c r="D125" s="2" t="s">
        <v>695</v>
      </c>
      <c r="E125" s="2" t="s">
        <v>15</v>
      </c>
      <c r="F125" s="8" t="s">
        <v>79</v>
      </c>
    </row>
    <row r="126" spans="1:6">
      <c r="A126" s="2" t="s">
        <v>2560</v>
      </c>
      <c r="B126" s="2" t="s">
        <v>769</v>
      </c>
      <c r="C126" s="2" t="s">
        <v>7</v>
      </c>
      <c r="D126" s="2" t="s">
        <v>695</v>
      </c>
      <c r="E126" s="2" t="s">
        <v>770</v>
      </c>
      <c r="F126" s="7" t="s">
        <v>692</v>
      </c>
    </row>
    <row r="127" spans="1:6">
      <c r="A127" s="2" t="s">
        <v>2560</v>
      </c>
      <c r="B127" s="2" t="s">
        <v>3128</v>
      </c>
      <c r="C127" s="2" t="s">
        <v>7</v>
      </c>
      <c r="D127" s="2" t="s">
        <v>698</v>
      </c>
      <c r="E127" s="2" t="s">
        <v>18</v>
      </c>
      <c r="F127" s="8" t="s">
        <v>79</v>
      </c>
    </row>
    <row r="128" spans="1:6">
      <c r="A128" s="2" t="s">
        <v>2560</v>
      </c>
      <c r="B128" s="2" t="s">
        <v>3133</v>
      </c>
      <c r="C128" s="2" t="s">
        <v>7</v>
      </c>
      <c r="D128" s="2" t="s">
        <v>695</v>
      </c>
      <c r="E128" s="2" t="s">
        <v>15</v>
      </c>
      <c r="F128" s="8" t="s">
        <v>79</v>
      </c>
    </row>
    <row r="129" spans="1:6">
      <c r="A129" s="2" t="s">
        <v>2560</v>
      </c>
      <c r="B129" s="2" t="s">
        <v>262</v>
      </c>
      <c r="C129" s="2" t="s">
        <v>7</v>
      </c>
      <c r="D129" s="2">
        <v>46</v>
      </c>
      <c r="E129" s="2" t="s">
        <v>15</v>
      </c>
      <c r="F129" s="8" t="s">
        <v>79</v>
      </c>
    </row>
    <row r="130" spans="1:6">
      <c r="A130" s="2" t="s">
        <v>2560</v>
      </c>
      <c r="B130" s="2" t="s">
        <v>280</v>
      </c>
      <c r="C130" s="2" t="s">
        <v>7</v>
      </c>
      <c r="D130" s="2" t="s">
        <v>691</v>
      </c>
      <c r="E130" s="2" t="s">
        <v>16</v>
      </c>
      <c r="F130" s="8" t="s">
        <v>79</v>
      </c>
    </row>
    <row r="131" spans="1:6">
      <c r="A131" s="2" t="s">
        <v>2560</v>
      </c>
      <c r="B131" s="2" t="s">
        <v>771</v>
      </c>
      <c r="C131" s="2" t="s">
        <v>7</v>
      </c>
      <c r="D131" s="2">
        <v>46</v>
      </c>
      <c r="E131" s="2" t="s">
        <v>16</v>
      </c>
      <c r="F131" s="7" t="s">
        <v>692</v>
      </c>
    </row>
    <row r="132" spans="1:6">
      <c r="A132" s="2" t="s">
        <v>2560</v>
      </c>
      <c r="B132" s="2" t="s">
        <v>265</v>
      </c>
      <c r="C132" s="2" t="s">
        <v>7</v>
      </c>
      <c r="D132" s="2" t="s">
        <v>695</v>
      </c>
      <c r="E132" s="2" t="s">
        <v>15</v>
      </c>
      <c r="F132" s="8" t="s">
        <v>79</v>
      </c>
    </row>
    <row r="133" spans="1:6">
      <c r="A133" s="2" t="s">
        <v>2560</v>
      </c>
      <c r="B133" s="2" t="s">
        <v>256</v>
      </c>
      <c r="C133" s="2" t="s">
        <v>7</v>
      </c>
      <c r="D133" s="2" t="s">
        <v>691</v>
      </c>
      <c r="E133" s="2" t="s">
        <v>15</v>
      </c>
      <c r="F133" s="8" t="s">
        <v>79</v>
      </c>
    </row>
    <row r="134" spans="1:6">
      <c r="A134" s="2" t="s">
        <v>2560</v>
      </c>
      <c r="B134" s="2" t="s">
        <v>3158</v>
      </c>
      <c r="C134" s="2" t="s">
        <v>7</v>
      </c>
      <c r="D134" s="2" t="s">
        <v>698</v>
      </c>
      <c r="E134" s="2" t="s">
        <v>770</v>
      </c>
      <c r="F134" s="8" t="s">
        <v>79</v>
      </c>
    </row>
    <row r="135" spans="1:6">
      <c r="A135" s="2" t="s">
        <v>2560</v>
      </c>
      <c r="B135" s="2" t="s">
        <v>1049</v>
      </c>
      <c r="C135" s="2" t="s">
        <v>8</v>
      </c>
      <c r="D135" s="2" t="s">
        <v>691</v>
      </c>
      <c r="E135" s="2" t="s">
        <v>16</v>
      </c>
      <c r="F135" s="8" t="s">
        <v>79</v>
      </c>
    </row>
    <row r="136" spans="1:6">
      <c r="A136" s="2" t="s">
        <v>2560</v>
      </c>
      <c r="B136" s="2" t="s">
        <v>284</v>
      </c>
      <c r="C136" s="2" t="s">
        <v>7</v>
      </c>
      <c r="D136" s="2" t="s">
        <v>691</v>
      </c>
      <c r="E136" s="2" t="s">
        <v>729</v>
      </c>
      <c r="F136" s="8" t="s">
        <v>79</v>
      </c>
    </row>
    <row r="137" spans="1:6">
      <c r="A137" s="2" t="s">
        <v>2560</v>
      </c>
      <c r="B137" s="2" t="s">
        <v>3172</v>
      </c>
      <c r="C137" s="2" t="s">
        <v>7</v>
      </c>
      <c r="D137" s="2" t="s">
        <v>691</v>
      </c>
      <c r="E137" s="2" t="s">
        <v>15</v>
      </c>
      <c r="F137" s="8" t="s">
        <v>79</v>
      </c>
    </row>
    <row r="138" spans="1:6">
      <c r="A138" s="2" t="s">
        <v>2560</v>
      </c>
      <c r="B138" s="2" t="s">
        <v>3177</v>
      </c>
      <c r="C138" s="2" t="s">
        <v>8</v>
      </c>
      <c r="D138" s="2" t="s">
        <v>691</v>
      </c>
      <c r="E138" s="2" t="s">
        <v>23</v>
      </c>
      <c r="F138" s="8" t="s">
        <v>79</v>
      </c>
    </row>
    <row r="139" spans="1:6">
      <c r="A139" s="2" t="s">
        <v>2560</v>
      </c>
      <c r="B139" s="2" t="s">
        <v>3182</v>
      </c>
      <c r="C139" s="2" t="s">
        <v>7</v>
      </c>
      <c r="D139" s="2" t="s">
        <v>695</v>
      </c>
      <c r="E139" s="2" t="s">
        <v>18</v>
      </c>
      <c r="F139" s="8" t="s">
        <v>79</v>
      </c>
    </row>
    <row r="140" spans="1:6">
      <c r="A140" s="2" t="s">
        <v>2560</v>
      </c>
      <c r="B140" s="2" t="s">
        <v>3187</v>
      </c>
      <c r="C140" s="2" t="s">
        <v>8</v>
      </c>
      <c r="D140" s="2" t="s">
        <v>691</v>
      </c>
      <c r="E140" s="2" t="s">
        <v>18</v>
      </c>
      <c r="F140" s="8" t="s">
        <v>79</v>
      </c>
    </row>
    <row r="141" spans="1:6">
      <c r="A141" s="2" t="s">
        <v>2560</v>
      </c>
      <c r="B141" s="2" t="s">
        <v>3192</v>
      </c>
      <c r="C141" s="2" t="s">
        <v>7</v>
      </c>
      <c r="D141" s="2" t="s">
        <v>691</v>
      </c>
      <c r="E141" s="2" t="s">
        <v>15</v>
      </c>
      <c r="F141" s="8" t="s">
        <v>79</v>
      </c>
    </row>
    <row r="142" spans="1:6">
      <c r="A142" s="2" t="s">
        <v>2560</v>
      </c>
      <c r="B142" s="2" t="s">
        <v>3197</v>
      </c>
      <c r="C142" s="2" t="s">
        <v>8</v>
      </c>
      <c r="D142" s="2" t="s">
        <v>695</v>
      </c>
      <c r="E142" s="2" t="s">
        <v>16</v>
      </c>
      <c r="F142" s="8" t="s">
        <v>79</v>
      </c>
    </row>
    <row r="143" spans="1:6">
      <c r="A143" s="2" t="s">
        <v>2560</v>
      </c>
      <c r="B143" s="2" t="s">
        <v>3201</v>
      </c>
      <c r="C143" s="2" t="s">
        <v>8</v>
      </c>
      <c r="D143" s="2" t="s">
        <v>691</v>
      </c>
      <c r="E143" s="2" t="s">
        <v>700</v>
      </c>
      <c r="F143" s="8" t="s">
        <v>79</v>
      </c>
    </row>
    <row r="144" spans="1:6">
      <c r="A144" s="2" t="s">
        <v>2560</v>
      </c>
      <c r="B144" s="2" t="s">
        <v>3206</v>
      </c>
      <c r="C144" s="2" t="s">
        <v>8</v>
      </c>
      <c r="D144" s="2" t="s">
        <v>695</v>
      </c>
      <c r="E144" s="2" t="s">
        <v>16</v>
      </c>
      <c r="F144" s="8" t="s">
        <v>79</v>
      </c>
    </row>
    <row r="145" spans="1:6">
      <c r="A145" s="2" t="s">
        <v>2560</v>
      </c>
      <c r="B145" s="2" t="s">
        <v>3211</v>
      </c>
      <c r="C145" s="2" t="s">
        <v>7</v>
      </c>
      <c r="D145" s="2">
        <v>46</v>
      </c>
      <c r="E145" s="2" t="s">
        <v>770</v>
      </c>
      <c r="F145" s="8" t="s">
        <v>79</v>
      </c>
    </row>
    <row r="146" spans="1:6">
      <c r="A146" s="2" t="s">
        <v>2560</v>
      </c>
      <c r="B146" s="2" t="s">
        <v>3215</v>
      </c>
      <c r="C146" s="2" t="s">
        <v>8</v>
      </c>
      <c r="D146" s="2" t="s">
        <v>691</v>
      </c>
      <c r="E146" s="2" t="s">
        <v>700</v>
      </c>
      <c r="F146" s="8" t="s">
        <v>79</v>
      </c>
    </row>
    <row r="147" spans="1:6">
      <c r="A147" s="2" t="s">
        <v>2560</v>
      </c>
      <c r="B147" s="2" t="s">
        <v>772</v>
      </c>
      <c r="C147" s="2" t="s">
        <v>8</v>
      </c>
      <c r="D147" s="2" t="s">
        <v>179</v>
      </c>
      <c r="E147" s="2" t="s">
        <v>15</v>
      </c>
      <c r="F147" s="7" t="s">
        <v>692</v>
      </c>
    </row>
    <row r="148" spans="1:6">
      <c r="A148" s="2" t="s">
        <v>2560</v>
      </c>
      <c r="B148" s="2" t="s">
        <v>3224</v>
      </c>
      <c r="C148" s="2" t="s">
        <v>7</v>
      </c>
      <c r="D148" s="2" t="s">
        <v>691</v>
      </c>
      <c r="E148" s="2" t="s">
        <v>15</v>
      </c>
      <c r="F148" s="8" t="s">
        <v>79</v>
      </c>
    </row>
    <row r="149" spans="1:6">
      <c r="A149" s="2" t="s">
        <v>2560</v>
      </c>
      <c r="B149" s="2" t="s">
        <v>3229</v>
      </c>
      <c r="C149" s="2" t="s">
        <v>7</v>
      </c>
      <c r="D149" s="2" t="s">
        <v>695</v>
      </c>
      <c r="E149" s="2" t="s">
        <v>16</v>
      </c>
      <c r="F149" s="8" t="s">
        <v>79</v>
      </c>
    </row>
    <row r="150" spans="1:6">
      <c r="A150" s="2" t="s">
        <v>2560</v>
      </c>
      <c r="B150" s="2" t="s">
        <v>3234</v>
      </c>
      <c r="C150" s="2" t="s">
        <v>8</v>
      </c>
      <c r="D150" s="2">
        <v>46</v>
      </c>
      <c r="E150" s="2" t="s">
        <v>729</v>
      </c>
      <c r="F150" s="8" t="s">
        <v>79</v>
      </c>
    </row>
    <row r="151" spans="1:6">
      <c r="A151" s="2" t="s">
        <v>2560</v>
      </c>
      <c r="B151" s="2" t="s">
        <v>3239</v>
      </c>
      <c r="C151" s="2" t="s">
        <v>8</v>
      </c>
      <c r="D151" s="2" t="s">
        <v>695</v>
      </c>
      <c r="E151" s="2" t="s">
        <v>700</v>
      </c>
      <c r="F151" s="8" t="s">
        <v>79</v>
      </c>
    </row>
    <row r="152" spans="1:6">
      <c r="A152" s="2" t="s">
        <v>2560</v>
      </c>
      <c r="B152" s="2" t="s">
        <v>773</v>
      </c>
      <c r="C152" s="2" t="s">
        <v>7</v>
      </c>
      <c r="D152" s="2" t="s">
        <v>691</v>
      </c>
      <c r="E152" s="2" t="s">
        <v>22</v>
      </c>
      <c r="F152" s="7" t="s">
        <v>692</v>
      </c>
    </row>
    <row r="153" spans="1:6">
      <c r="A153" s="2" t="s">
        <v>2560</v>
      </c>
      <c r="B153" s="2" t="s">
        <v>3248</v>
      </c>
      <c r="C153" s="2" t="s">
        <v>8</v>
      </c>
      <c r="D153" s="2" t="s">
        <v>695</v>
      </c>
      <c r="E153" s="2" t="s">
        <v>23</v>
      </c>
      <c r="F153" s="8" t="s">
        <v>79</v>
      </c>
    </row>
    <row r="154" spans="1:6">
      <c r="A154" s="2" t="s">
        <v>2560</v>
      </c>
      <c r="B154" s="2" t="s">
        <v>3258</v>
      </c>
      <c r="C154" s="2" t="s">
        <v>8</v>
      </c>
      <c r="D154" s="2" t="s">
        <v>691</v>
      </c>
      <c r="E154" s="2" t="s">
        <v>770</v>
      </c>
      <c r="F154" s="8" t="s">
        <v>79</v>
      </c>
    </row>
    <row r="155" spans="1:6">
      <c r="A155" s="2" t="s">
        <v>2560</v>
      </c>
      <c r="B155" s="2" t="s">
        <v>3263</v>
      </c>
      <c r="C155" s="2" t="s">
        <v>7</v>
      </c>
      <c r="D155" s="2" t="s">
        <v>698</v>
      </c>
      <c r="E155" s="2" t="s">
        <v>23</v>
      </c>
      <c r="F155" s="8" t="s">
        <v>79</v>
      </c>
    </row>
    <row r="156" spans="1:6">
      <c r="A156" s="2" t="s">
        <v>2560</v>
      </c>
      <c r="B156" s="2" t="s">
        <v>3268</v>
      </c>
      <c r="C156" s="2" t="s">
        <v>8</v>
      </c>
      <c r="D156" s="2" t="s">
        <v>695</v>
      </c>
      <c r="E156" s="2" t="s">
        <v>700</v>
      </c>
      <c r="F156" s="8" t="s">
        <v>79</v>
      </c>
    </row>
    <row r="157" spans="1:6">
      <c r="A157" s="2" t="s">
        <v>2560</v>
      </c>
      <c r="B157" s="2" t="s">
        <v>3273</v>
      </c>
      <c r="C157" s="2" t="s">
        <v>8</v>
      </c>
      <c r="D157" s="2" t="s">
        <v>695</v>
      </c>
      <c r="E157" s="2" t="s">
        <v>16</v>
      </c>
      <c r="F157" s="8" t="s">
        <v>79</v>
      </c>
    </row>
    <row r="158" spans="1:6">
      <c r="A158" s="2" t="s">
        <v>2560</v>
      </c>
      <c r="B158" s="2" t="s">
        <v>774</v>
      </c>
      <c r="C158" s="2" t="s">
        <v>7</v>
      </c>
      <c r="D158" s="2" t="s">
        <v>179</v>
      </c>
      <c r="E158" s="2" t="s">
        <v>25</v>
      </c>
      <c r="F158" s="7" t="s">
        <v>692</v>
      </c>
    </row>
    <row r="159" spans="1:6">
      <c r="A159" s="2" t="s">
        <v>2560</v>
      </c>
      <c r="B159" s="2" t="s">
        <v>775</v>
      </c>
      <c r="C159" s="2" t="s">
        <v>8</v>
      </c>
      <c r="D159" s="2" t="s">
        <v>695</v>
      </c>
      <c r="E159" s="2" t="s">
        <v>700</v>
      </c>
      <c r="F159" s="7" t="s">
        <v>692</v>
      </c>
    </row>
    <row r="160" spans="1:6">
      <c r="A160" s="2" t="s">
        <v>2560</v>
      </c>
      <c r="B160" s="2" t="s">
        <v>776</v>
      </c>
      <c r="C160" s="2" t="s">
        <v>7</v>
      </c>
      <c r="D160" s="2" t="s">
        <v>179</v>
      </c>
      <c r="E160" s="2" t="s">
        <v>710</v>
      </c>
      <c r="F160" s="7" t="s">
        <v>692</v>
      </c>
    </row>
    <row r="161" spans="1:6">
      <c r="A161" s="2" t="s">
        <v>2560</v>
      </c>
      <c r="B161" s="2" t="s">
        <v>777</v>
      </c>
      <c r="C161" s="2" t="s">
        <v>8</v>
      </c>
      <c r="D161" s="2" t="s">
        <v>691</v>
      </c>
      <c r="E161" s="2" t="s">
        <v>700</v>
      </c>
      <c r="F161" s="7" t="s">
        <v>692</v>
      </c>
    </row>
    <row r="162" spans="1:6">
      <c r="A162" s="2" t="s">
        <v>2560</v>
      </c>
      <c r="B162" s="2" t="s">
        <v>3288</v>
      </c>
      <c r="C162" s="2" t="s">
        <v>7</v>
      </c>
      <c r="D162" s="2" t="s">
        <v>698</v>
      </c>
      <c r="E162" s="2" t="s">
        <v>729</v>
      </c>
      <c r="F162" s="8" t="s">
        <v>79</v>
      </c>
    </row>
    <row r="163" spans="1:6">
      <c r="A163" s="2" t="s">
        <v>2560</v>
      </c>
      <c r="B163" s="2" t="s">
        <v>778</v>
      </c>
      <c r="C163" s="2" t="s">
        <v>8</v>
      </c>
      <c r="D163" s="2">
        <v>46</v>
      </c>
      <c r="E163" s="2" t="s">
        <v>700</v>
      </c>
      <c r="F163" s="7" t="s">
        <v>692</v>
      </c>
    </row>
    <row r="164" spans="1:6">
      <c r="A164" s="2" t="s">
        <v>2560</v>
      </c>
      <c r="B164" s="2" t="s">
        <v>779</v>
      </c>
      <c r="C164" s="2" t="s">
        <v>8</v>
      </c>
      <c r="D164" s="2" t="s">
        <v>698</v>
      </c>
      <c r="E164" s="2" t="s">
        <v>712</v>
      </c>
      <c r="F164" s="7" t="s">
        <v>692</v>
      </c>
    </row>
    <row r="165" spans="1:6">
      <c r="A165" s="2" t="s">
        <v>2560</v>
      </c>
      <c r="B165" s="2" t="s">
        <v>780</v>
      </c>
      <c r="C165" s="2" t="s">
        <v>8</v>
      </c>
      <c r="D165" s="2" t="s">
        <v>179</v>
      </c>
      <c r="E165" s="2" t="s">
        <v>18</v>
      </c>
      <c r="F165" s="7" t="s">
        <v>692</v>
      </c>
    </row>
    <row r="166" spans="1:6">
      <c r="A166" s="2" t="s">
        <v>2560</v>
      </c>
      <c r="B166" s="2" t="s">
        <v>3302</v>
      </c>
      <c r="C166" s="2" t="s">
        <v>8</v>
      </c>
      <c r="D166" s="2">
        <v>46</v>
      </c>
      <c r="E166" s="2" t="s">
        <v>700</v>
      </c>
      <c r="F166" s="8" t="s">
        <v>79</v>
      </c>
    </row>
    <row r="167" spans="1:6">
      <c r="A167" s="2" t="s">
        <v>2560</v>
      </c>
      <c r="B167" s="2" t="s">
        <v>781</v>
      </c>
      <c r="C167" s="2" t="s">
        <v>8</v>
      </c>
      <c r="D167" s="2">
        <v>46</v>
      </c>
      <c r="E167" s="2" t="s">
        <v>712</v>
      </c>
      <c r="F167" s="7" t="s">
        <v>692</v>
      </c>
    </row>
    <row r="168" spans="1:6">
      <c r="A168" s="2" t="s">
        <v>2560</v>
      </c>
      <c r="B168" s="2" t="s">
        <v>782</v>
      </c>
      <c r="C168" s="2" t="s">
        <v>8</v>
      </c>
      <c r="D168" s="2">
        <v>46</v>
      </c>
      <c r="E168" s="2" t="s">
        <v>700</v>
      </c>
      <c r="F168" s="7" t="s">
        <v>692</v>
      </c>
    </row>
    <row r="169" spans="1:6">
      <c r="A169" s="2" t="s">
        <v>2560</v>
      </c>
      <c r="B169" s="2" t="s">
        <v>783</v>
      </c>
      <c r="C169" s="2" t="s">
        <v>8</v>
      </c>
      <c r="D169" s="2" t="s">
        <v>698</v>
      </c>
      <c r="E169" s="2" t="s">
        <v>712</v>
      </c>
      <c r="F169" s="7" t="s">
        <v>692</v>
      </c>
    </row>
    <row r="170" spans="1:6">
      <c r="A170" s="2" t="s">
        <v>2560</v>
      </c>
      <c r="B170" s="2" t="s">
        <v>784</v>
      </c>
      <c r="C170" s="2" t="s">
        <v>8</v>
      </c>
      <c r="D170" s="2" t="s">
        <v>698</v>
      </c>
      <c r="E170" s="2" t="s">
        <v>700</v>
      </c>
      <c r="F170" s="7" t="s">
        <v>692</v>
      </c>
    </row>
    <row r="171" spans="1:6">
      <c r="A171" s="2" t="s">
        <v>2560</v>
      </c>
      <c r="B171" s="2" t="s">
        <v>785</v>
      </c>
      <c r="C171" s="2" t="s">
        <v>7</v>
      </c>
      <c r="D171" s="2" t="s">
        <v>695</v>
      </c>
      <c r="E171" s="2" t="s">
        <v>15</v>
      </c>
      <c r="F171" s="7" t="s">
        <v>692</v>
      </c>
    </row>
    <row r="172" spans="1:6">
      <c r="A172" s="2" t="s">
        <v>2560</v>
      </c>
      <c r="B172" s="2" t="s">
        <v>3327</v>
      </c>
      <c r="C172" s="2" t="s">
        <v>7</v>
      </c>
      <c r="D172" s="2" t="s">
        <v>691</v>
      </c>
      <c r="E172" s="2" t="s">
        <v>16</v>
      </c>
      <c r="F172" s="8" t="s">
        <v>79</v>
      </c>
    </row>
    <row r="173" spans="1:6">
      <c r="A173" s="2" t="s">
        <v>2560</v>
      </c>
      <c r="B173" s="2" t="s">
        <v>3331</v>
      </c>
      <c r="C173" s="2" t="s">
        <v>7</v>
      </c>
      <c r="D173" s="2" t="s">
        <v>695</v>
      </c>
      <c r="E173" s="2" t="s">
        <v>16</v>
      </c>
      <c r="F173" s="8" t="s">
        <v>79</v>
      </c>
    </row>
    <row r="174" spans="1:6">
      <c r="A174" s="2" t="s">
        <v>2560</v>
      </c>
      <c r="B174" s="2" t="s">
        <v>3336</v>
      </c>
      <c r="C174" s="2" t="s">
        <v>8</v>
      </c>
      <c r="D174" s="2" t="s">
        <v>698</v>
      </c>
      <c r="E174" s="2" t="s">
        <v>770</v>
      </c>
      <c r="F174" s="8" t="s">
        <v>79</v>
      </c>
    </row>
    <row r="175" spans="1:6">
      <c r="A175" s="2" t="s">
        <v>2560</v>
      </c>
      <c r="B175" s="2" t="s">
        <v>786</v>
      </c>
      <c r="C175" s="2" t="s">
        <v>7</v>
      </c>
      <c r="D175" s="2" t="s">
        <v>691</v>
      </c>
      <c r="E175" s="2" t="s">
        <v>15</v>
      </c>
      <c r="F175" s="7" t="s">
        <v>692</v>
      </c>
    </row>
    <row r="176" spans="1:6">
      <c r="A176" s="2" t="s">
        <v>2560</v>
      </c>
      <c r="B176" s="2" t="s">
        <v>787</v>
      </c>
      <c r="C176" s="2" t="s">
        <v>8</v>
      </c>
      <c r="D176" s="2" t="s">
        <v>691</v>
      </c>
      <c r="E176" s="2" t="s">
        <v>18</v>
      </c>
      <c r="F176" s="7" t="s">
        <v>692</v>
      </c>
    </row>
    <row r="177" spans="1:6">
      <c r="A177" s="2" t="s">
        <v>2560</v>
      </c>
      <c r="B177" s="2" t="s">
        <v>788</v>
      </c>
      <c r="C177" s="2" t="s">
        <v>7</v>
      </c>
      <c r="D177" s="2" t="s">
        <v>691</v>
      </c>
      <c r="E177" s="2" t="s">
        <v>15</v>
      </c>
      <c r="F177" s="7" t="s">
        <v>692</v>
      </c>
    </row>
    <row r="178" spans="1:6">
      <c r="A178" s="2" t="s">
        <v>2560</v>
      </c>
      <c r="B178" s="2" t="s">
        <v>789</v>
      </c>
      <c r="C178" s="2" t="s">
        <v>7</v>
      </c>
      <c r="D178" s="2" t="s">
        <v>691</v>
      </c>
      <c r="E178" s="2" t="s">
        <v>712</v>
      </c>
      <c r="F178" s="7" t="s">
        <v>692</v>
      </c>
    </row>
    <row r="179" spans="1:6">
      <c r="A179" s="2" t="s">
        <v>2560</v>
      </c>
      <c r="B179" s="2" t="s">
        <v>790</v>
      </c>
      <c r="C179" s="2" t="s">
        <v>7</v>
      </c>
      <c r="D179" s="2" t="s">
        <v>179</v>
      </c>
      <c r="E179" s="2" t="s">
        <v>712</v>
      </c>
      <c r="F179" s="7" t="s">
        <v>692</v>
      </c>
    </row>
    <row r="180" spans="1:6">
      <c r="A180" s="2" t="s">
        <v>2560</v>
      </c>
      <c r="B180" s="2" t="s">
        <v>3368</v>
      </c>
      <c r="C180" s="2" t="s">
        <v>8</v>
      </c>
      <c r="D180" s="2" t="s">
        <v>695</v>
      </c>
      <c r="E180" s="2" t="s">
        <v>16</v>
      </c>
      <c r="F180" s="8" t="s">
        <v>79</v>
      </c>
    </row>
    <row r="181" spans="1:6">
      <c r="A181" s="2" t="s">
        <v>2560</v>
      </c>
      <c r="B181" s="2" t="s">
        <v>791</v>
      </c>
      <c r="C181" s="2" t="s">
        <v>7</v>
      </c>
      <c r="D181" s="2" t="s">
        <v>179</v>
      </c>
      <c r="E181" s="2" t="s">
        <v>25</v>
      </c>
      <c r="F181" s="7" t="s">
        <v>692</v>
      </c>
    </row>
    <row r="182" spans="1:6">
      <c r="A182" s="2" t="s">
        <v>2560</v>
      </c>
      <c r="B182" s="2" t="s">
        <v>792</v>
      </c>
      <c r="C182" s="2" t="s">
        <v>8</v>
      </c>
      <c r="D182" s="2" t="s">
        <v>179</v>
      </c>
      <c r="E182" s="2" t="s">
        <v>18</v>
      </c>
      <c r="F182" s="7" t="s">
        <v>692</v>
      </c>
    </row>
    <row r="183" spans="1:6">
      <c r="A183" s="2" t="s">
        <v>2560</v>
      </c>
      <c r="B183" s="2" t="s">
        <v>793</v>
      </c>
      <c r="C183" s="2" t="s">
        <v>8</v>
      </c>
      <c r="D183" s="2" t="s">
        <v>695</v>
      </c>
      <c r="E183" s="2" t="s">
        <v>18</v>
      </c>
      <c r="F183" s="7" t="s">
        <v>692</v>
      </c>
    </row>
    <row r="184" spans="1:6">
      <c r="A184" s="2" t="s">
        <v>2560</v>
      </c>
      <c r="B184" s="2" t="s">
        <v>3411</v>
      </c>
      <c r="C184" s="2" t="s">
        <v>7</v>
      </c>
      <c r="D184" s="2" t="s">
        <v>691</v>
      </c>
      <c r="E184" s="2" t="s">
        <v>15</v>
      </c>
      <c r="F184" s="8" t="s">
        <v>79</v>
      </c>
    </row>
    <row r="185" spans="1:6">
      <c r="A185" s="2" t="s">
        <v>2560</v>
      </c>
      <c r="B185" s="2" t="s">
        <v>794</v>
      </c>
      <c r="C185" s="2" t="s">
        <v>8</v>
      </c>
      <c r="D185" s="2" t="s">
        <v>691</v>
      </c>
      <c r="E185" s="2" t="s">
        <v>15</v>
      </c>
      <c r="F185" s="7" t="s">
        <v>692</v>
      </c>
    </row>
    <row r="186" spans="1:6">
      <c r="A186" s="2" t="s">
        <v>2560</v>
      </c>
      <c r="B186" s="2" t="s">
        <v>795</v>
      </c>
      <c r="C186" s="2" t="s">
        <v>8</v>
      </c>
      <c r="D186" s="2" t="s">
        <v>691</v>
      </c>
      <c r="E186" s="2" t="s">
        <v>15</v>
      </c>
      <c r="F186" s="7" t="s">
        <v>692</v>
      </c>
    </row>
    <row r="187" spans="1:6">
      <c r="A187" s="2" t="s">
        <v>2560</v>
      </c>
      <c r="B187" s="2" t="s">
        <v>796</v>
      </c>
      <c r="C187" s="2" t="s">
        <v>8</v>
      </c>
      <c r="D187" s="2" t="s">
        <v>691</v>
      </c>
      <c r="E187" s="2" t="s">
        <v>18</v>
      </c>
      <c r="F187" s="7" t="s">
        <v>692</v>
      </c>
    </row>
    <row r="188" spans="1:6">
      <c r="A188" s="2" t="s">
        <v>2560</v>
      </c>
      <c r="B188" s="2" t="s">
        <v>797</v>
      </c>
      <c r="C188" s="2" t="s">
        <v>8</v>
      </c>
      <c r="D188" s="2" t="s">
        <v>695</v>
      </c>
      <c r="E188" s="2" t="s">
        <v>18</v>
      </c>
      <c r="F188" s="7" t="s">
        <v>692</v>
      </c>
    </row>
    <row r="189" spans="1:6">
      <c r="A189" s="2" t="s">
        <v>2560</v>
      </c>
      <c r="B189" s="2" t="s">
        <v>3478</v>
      </c>
      <c r="C189" s="2" t="s">
        <v>8</v>
      </c>
      <c r="D189" s="2" t="s">
        <v>695</v>
      </c>
      <c r="E189" s="2" t="s">
        <v>23</v>
      </c>
      <c r="F189" s="8" t="s">
        <v>79</v>
      </c>
    </row>
    <row r="190" spans="1:6">
      <c r="A190" s="2" t="s">
        <v>2560</v>
      </c>
      <c r="B190" s="2" t="s">
        <v>798</v>
      </c>
      <c r="C190" s="2" t="s">
        <v>7</v>
      </c>
      <c r="D190" s="2" t="s">
        <v>691</v>
      </c>
      <c r="E190" s="2" t="s">
        <v>16</v>
      </c>
      <c r="F190" s="7" t="s">
        <v>692</v>
      </c>
    </row>
    <row r="191" spans="1:6">
      <c r="A191" s="2" t="s">
        <v>2560</v>
      </c>
      <c r="B191" s="2" t="s">
        <v>799</v>
      </c>
      <c r="C191" s="2" t="s">
        <v>8</v>
      </c>
      <c r="D191" s="2" t="s">
        <v>698</v>
      </c>
      <c r="E191" s="2" t="s">
        <v>18</v>
      </c>
      <c r="F191" s="7" t="s">
        <v>692</v>
      </c>
    </row>
    <row r="192" spans="1:6">
      <c r="A192" s="2" t="s">
        <v>2560</v>
      </c>
      <c r="B192" s="2" t="s">
        <v>800</v>
      </c>
      <c r="C192" s="2" t="s">
        <v>8</v>
      </c>
      <c r="D192" s="2" t="s">
        <v>695</v>
      </c>
      <c r="E192" s="2" t="s">
        <v>700</v>
      </c>
      <c r="F192" s="7" t="s">
        <v>692</v>
      </c>
    </row>
    <row r="193" spans="1:6">
      <c r="A193" s="2" t="s">
        <v>2560</v>
      </c>
      <c r="B193" s="2" t="s">
        <v>801</v>
      </c>
      <c r="C193" s="2" t="s">
        <v>7</v>
      </c>
      <c r="D193" s="2" t="s">
        <v>691</v>
      </c>
      <c r="E193" s="2" t="s">
        <v>15</v>
      </c>
      <c r="F193" s="7" t="s">
        <v>692</v>
      </c>
    </row>
    <row r="194" spans="1:6">
      <c r="A194" s="2" t="s">
        <v>2560</v>
      </c>
      <c r="B194" s="2" t="s">
        <v>802</v>
      </c>
      <c r="C194" s="2" t="s">
        <v>8</v>
      </c>
      <c r="D194" s="2">
        <v>46</v>
      </c>
      <c r="E194" s="2" t="s">
        <v>729</v>
      </c>
      <c r="F194" s="7" t="s">
        <v>692</v>
      </c>
    </row>
    <row r="195" spans="1:6">
      <c r="A195" s="2" t="s">
        <v>2560</v>
      </c>
      <c r="B195" s="2" t="s">
        <v>803</v>
      </c>
      <c r="C195" s="2" t="s">
        <v>7</v>
      </c>
      <c r="D195" s="2" t="s">
        <v>695</v>
      </c>
      <c r="E195" s="2" t="s">
        <v>23</v>
      </c>
      <c r="F195" s="7" t="s">
        <v>692</v>
      </c>
    </row>
    <row r="196" spans="1:6">
      <c r="A196" s="2" t="s">
        <v>2560</v>
      </c>
      <c r="B196" s="2" t="s">
        <v>804</v>
      </c>
      <c r="C196" s="2" t="s">
        <v>8</v>
      </c>
      <c r="D196" s="2" t="s">
        <v>691</v>
      </c>
      <c r="E196" s="2" t="s">
        <v>729</v>
      </c>
      <c r="F196" s="7" t="s">
        <v>692</v>
      </c>
    </row>
    <row r="197" spans="1:6">
      <c r="A197" s="2" t="s">
        <v>2560</v>
      </c>
      <c r="B197" s="2" t="s">
        <v>805</v>
      </c>
      <c r="C197" s="2" t="s">
        <v>8</v>
      </c>
      <c r="D197" s="2" t="s">
        <v>179</v>
      </c>
      <c r="E197" s="2" t="s">
        <v>18</v>
      </c>
      <c r="F197" s="7" t="s">
        <v>692</v>
      </c>
    </row>
    <row r="198" spans="1:6">
      <c r="A198" s="2" t="s">
        <v>2560</v>
      </c>
      <c r="B198" s="2" t="s">
        <v>3510</v>
      </c>
      <c r="C198" s="2" t="s">
        <v>8</v>
      </c>
      <c r="D198" s="2" t="s">
        <v>691</v>
      </c>
      <c r="E198" s="2" t="s">
        <v>23</v>
      </c>
      <c r="F198" s="8" t="s">
        <v>79</v>
      </c>
    </row>
    <row r="199" spans="1:6">
      <c r="A199" s="2" t="s">
        <v>2560</v>
      </c>
      <c r="B199" s="2" t="s">
        <v>806</v>
      </c>
      <c r="C199" s="2" t="s">
        <v>8</v>
      </c>
      <c r="D199" s="2" t="s">
        <v>691</v>
      </c>
      <c r="E199" s="2" t="s">
        <v>16</v>
      </c>
      <c r="F199" s="7" t="s">
        <v>692</v>
      </c>
    </row>
    <row r="200" spans="1:6">
      <c r="A200" s="2" t="s">
        <v>2560</v>
      </c>
      <c r="B200" s="2" t="s">
        <v>807</v>
      </c>
      <c r="C200" s="2" t="s">
        <v>8</v>
      </c>
      <c r="D200" s="2">
        <v>46</v>
      </c>
      <c r="E200" s="2" t="s">
        <v>18</v>
      </c>
      <c r="F200" s="7" t="s">
        <v>692</v>
      </c>
    </row>
    <row r="201" spans="1:6">
      <c r="A201" s="26" t="s">
        <v>2560</v>
      </c>
      <c r="B201" s="26" t="s">
        <v>808</v>
      </c>
      <c r="C201" s="26" t="s">
        <v>7</v>
      </c>
      <c r="D201" s="26" t="s">
        <v>695</v>
      </c>
      <c r="E201" s="26" t="s">
        <v>16</v>
      </c>
      <c r="F201" s="26" t="s">
        <v>808</v>
      </c>
    </row>
    <row r="202" spans="1:6">
      <c r="A202" s="26" t="s">
        <v>2560</v>
      </c>
      <c r="B202" s="26" t="s">
        <v>809</v>
      </c>
      <c r="C202" s="26" t="s">
        <v>7</v>
      </c>
      <c r="D202" s="26">
        <v>46</v>
      </c>
      <c r="E202" s="26" t="s">
        <v>15</v>
      </c>
      <c r="F202" s="26" t="s">
        <v>809</v>
      </c>
    </row>
  </sheetData>
  <autoFilter ref="A1:F202" xr:uid="{5C57D5A9-9A76-4526-916B-7EA43BE286BF}"/>
  <conditionalFormatting sqref="B405:B1048576 B1:B200">
    <cfRule type="duplicateValues" dxfId="1" priority="10"/>
  </conditionalFormatting>
  <conditionalFormatting sqref="B405:B1048576">
    <cfRule type="duplicateValues" dxfId="0" priority="11"/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74E07D4A2E2C4B8D42C1C5068BF552" ma:contentTypeVersion="5" ma:contentTypeDescription="Create a new document." ma:contentTypeScope="" ma:versionID="b5dbad9b63c3ffbdc1d99420c23131ae">
  <xsd:schema xmlns:xsd="http://www.w3.org/2001/XMLSchema" xmlns:xs="http://www.w3.org/2001/XMLSchema" xmlns:p="http://schemas.microsoft.com/office/2006/metadata/properties" xmlns:ns3="4ed26d01-df58-4c0e-bc44-54852442b8ff" targetNamespace="http://schemas.microsoft.com/office/2006/metadata/properties" ma:root="true" ma:fieldsID="0cf96a2be212dfe25d15932696c4daa1" ns3:_="">
    <xsd:import namespace="4ed26d01-df58-4c0e-bc44-54852442b8f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26d01-df58-4c0e-bc44-54852442b8f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ed26d01-df58-4c0e-bc44-54852442b8f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AC67C5-AB8B-4B71-BB23-DEDA7ECFD9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d26d01-df58-4c0e-bc44-54852442b8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725CFE-AF3B-47A3-B553-1517D94F4E51}">
  <ds:schemaRefs>
    <ds:schemaRef ds:uri="http://schemas.microsoft.com/office/2006/metadata/properties"/>
    <ds:schemaRef ds:uri="http://schemas.microsoft.com/office/infopath/2007/PartnerControls"/>
    <ds:schemaRef ds:uri="4ed26d01-df58-4c0e-bc44-54852442b8ff"/>
  </ds:schemaRefs>
</ds:datastoreItem>
</file>

<file path=customXml/itemProps3.xml><?xml version="1.0" encoding="utf-8"?>
<ds:datastoreItem xmlns:ds="http://schemas.openxmlformats.org/officeDocument/2006/customXml" ds:itemID="{43CBE7F4-904C-4553-8F02-DEF894EA70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Map master (LENA)</vt:lpstr>
      <vt:lpstr>DATA - Support Measures</vt:lpstr>
      <vt:lpstr>Map master</vt:lpstr>
      <vt:lpstr>Sheet4</vt:lpstr>
      <vt:lpstr>Summary</vt:lpstr>
      <vt:lpstr>all E4DE</vt:lpstr>
      <vt:lpstr>Event Participants</vt:lpstr>
      <vt:lpstr>Event Participants registered</vt:lpstr>
      <vt:lpstr>Event unique startups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Bushra Dumour</dc:creator>
  <cp:keywords/>
  <dc:description/>
  <cp:lastModifiedBy>Joud Atoom</cp:lastModifiedBy>
  <cp:revision/>
  <dcterms:created xsi:type="dcterms:W3CDTF">2026-10-25T10:25:25Z</dcterms:created>
  <dcterms:modified xsi:type="dcterms:W3CDTF">2026-10-28T18:31:25Z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0x0101007E74E07D4A2E2C4B8D42C1C5068BF552</vt:lpwstr>
  </property>
</Properties>
</file>